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8. ALITA BAKTI\3. TABLEAU\PHYTON\Garansi\"/>
    </mc:Choice>
  </mc:AlternateContent>
  <xr:revisionPtr revIDLastSave="0" documentId="13_ncr:1_{CBBDD4DD-92C1-40C4-ABBD-16E62E7FE44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laim" sheetId="1" r:id="rId1"/>
    <sheet name="Manual" sheetId="5" r:id="rId2"/>
    <sheet name="Engpar" sheetId="3" r:id="rId3"/>
    <sheet name="Sheet1" sheetId="4" r:id="rId4"/>
  </sheets>
  <definedNames>
    <definedName name="_xlnm._FilterDatabase" localSheetId="0" hidden="1">Claim!$A$1:$S$102</definedName>
    <definedName name="_xlnm._FilterDatabase" localSheetId="2" hidden="1">Engpar!$A$1:$K$338</definedName>
    <definedName name="_xlnm._FilterDatabase" localSheetId="1" hidden="1">Manual!$A$1:$S$102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6" i="5" l="1"/>
  <c r="L106" i="5"/>
  <c r="K106" i="5"/>
  <c r="J106" i="5"/>
  <c r="I106" i="5"/>
  <c r="H106" i="5"/>
  <c r="G106" i="5"/>
  <c r="F106" i="5"/>
  <c r="E106" i="5"/>
  <c r="D106" i="5"/>
  <c r="C106" i="5"/>
  <c r="M105" i="5"/>
  <c r="L105" i="5"/>
  <c r="K105" i="5"/>
  <c r="J105" i="5"/>
  <c r="I105" i="5"/>
  <c r="H105" i="5"/>
  <c r="G105" i="5"/>
  <c r="F105" i="5"/>
  <c r="E105" i="5"/>
  <c r="D105" i="5"/>
  <c r="C105" i="5"/>
  <c r="M104" i="5"/>
  <c r="L104" i="5"/>
  <c r="K104" i="5"/>
  <c r="J104" i="5"/>
  <c r="I104" i="5"/>
  <c r="H104" i="5"/>
  <c r="G104" i="5"/>
  <c r="F104" i="5"/>
  <c r="E104" i="5"/>
  <c r="D104" i="5"/>
  <c r="C104" i="5"/>
  <c r="M103" i="5"/>
  <c r="L103" i="5"/>
  <c r="K103" i="5"/>
  <c r="J103" i="5"/>
  <c r="I103" i="5"/>
  <c r="H103" i="5"/>
  <c r="G103" i="5"/>
  <c r="F103" i="5"/>
  <c r="E103" i="5"/>
  <c r="D103" i="5"/>
  <c r="C103" i="5"/>
  <c r="M102" i="5"/>
  <c r="L102" i="5"/>
  <c r="K102" i="5"/>
  <c r="M60" i="5"/>
  <c r="L60" i="5"/>
  <c r="K60" i="5"/>
  <c r="M59" i="5"/>
  <c r="L59" i="5"/>
  <c r="K59" i="5"/>
  <c r="M57" i="5"/>
  <c r="L57" i="5"/>
  <c r="K57" i="5"/>
  <c r="M56" i="5"/>
  <c r="L56" i="5"/>
  <c r="K56" i="5"/>
  <c r="M55" i="5"/>
  <c r="L55" i="5"/>
  <c r="K55" i="5"/>
  <c r="M54" i="5"/>
  <c r="L54" i="5"/>
  <c r="K54" i="5"/>
  <c r="M52" i="5"/>
  <c r="L52" i="5"/>
  <c r="K52" i="5"/>
  <c r="M51" i="5"/>
  <c r="L51" i="5"/>
  <c r="K51" i="5"/>
  <c r="M50" i="5"/>
  <c r="L50" i="5"/>
  <c r="K50" i="5"/>
  <c r="M101" i="5"/>
  <c r="L101" i="5"/>
  <c r="K101" i="5"/>
  <c r="M100" i="5"/>
  <c r="L100" i="5"/>
  <c r="K100" i="5"/>
  <c r="M49" i="5"/>
  <c r="L49" i="5"/>
  <c r="K49" i="5"/>
  <c r="M99" i="5"/>
  <c r="L99" i="5"/>
  <c r="K99" i="5"/>
  <c r="M47" i="5"/>
  <c r="L47" i="5"/>
  <c r="K47" i="5"/>
  <c r="M87" i="5"/>
  <c r="L87" i="5"/>
  <c r="K87" i="5"/>
  <c r="M86" i="5"/>
  <c r="L86" i="5"/>
  <c r="K86" i="5"/>
  <c r="M85" i="5"/>
  <c r="L85" i="5"/>
  <c r="K85" i="5"/>
  <c r="M46" i="5"/>
  <c r="L46" i="5"/>
  <c r="K46" i="5"/>
  <c r="M83" i="5"/>
  <c r="L83" i="5"/>
  <c r="K83" i="5"/>
  <c r="M45" i="5"/>
  <c r="L45" i="5"/>
  <c r="K45" i="5"/>
  <c r="M43" i="5"/>
  <c r="L43" i="5"/>
  <c r="K43" i="5"/>
  <c r="M80" i="5"/>
  <c r="L80" i="5"/>
  <c r="K80" i="5"/>
  <c r="M42" i="5"/>
  <c r="L42" i="5"/>
  <c r="K42" i="5"/>
  <c r="M78" i="5"/>
  <c r="L78" i="5"/>
  <c r="K78" i="5"/>
  <c r="M39" i="5"/>
  <c r="L39" i="5"/>
  <c r="K39" i="5"/>
  <c r="M76" i="5"/>
  <c r="L76" i="5"/>
  <c r="K76" i="5"/>
  <c r="M75" i="5"/>
  <c r="L75" i="5"/>
  <c r="K75" i="5"/>
  <c r="M74" i="5"/>
  <c r="L74" i="5"/>
  <c r="K74" i="5"/>
  <c r="M38" i="5"/>
  <c r="L38" i="5"/>
  <c r="K38" i="5"/>
  <c r="M72" i="5"/>
  <c r="L72" i="5"/>
  <c r="K72" i="5"/>
  <c r="M71" i="5"/>
  <c r="L71" i="5"/>
  <c r="K71" i="5"/>
  <c r="M70" i="5"/>
  <c r="L70" i="5"/>
  <c r="K70" i="5"/>
  <c r="M36" i="5"/>
  <c r="L36" i="5"/>
  <c r="K36" i="5"/>
  <c r="M68" i="5"/>
  <c r="L68" i="5"/>
  <c r="K68" i="5"/>
  <c r="M33" i="5"/>
  <c r="L33" i="5"/>
  <c r="K33" i="5"/>
  <c r="M98" i="5"/>
  <c r="L98" i="5"/>
  <c r="K98" i="5"/>
  <c r="M65" i="5"/>
  <c r="L65" i="5"/>
  <c r="K65" i="5"/>
  <c r="M97" i="5"/>
  <c r="L97" i="5"/>
  <c r="K97" i="5"/>
  <c r="M96" i="5"/>
  <c r="L96" i="5"/>
  <c r="K96" i="5"/>
  <c r="M62" i="5"/>
  <c r="L62" i="5"/>
  <c r="K62" i="5"/>
  <c r="M61" i="5"/>
  <c r="L61" i="5"/>
  <c r="K61" i="5"/>
  <c r="M32" i="5"/>
  <c r="L32" i="5"/>
  <c r="K32" i="5"/>
  <c r="M31" i="5"/>
  <c r="L31" i="5"/>
  <c r="K31" i="5"/>
  <c r="M58" i="5"/>
  <c r="L58" i="5"/>
  <c r="K58" i="5"/>
  <c r="M29" i="5"/>
  <c r="L29" i="5"/>
  <c r="K29" i="5"/>
  <c r="M27" i="5"/>
  <c r="L27" i="5"/>
  <c r="K27" i="5"/>
  <c r="M24" i="5"/>
  <c r="L24" i="5"/>
  <c r="K24" i="5"/>
  <c r="M95" i="5"/>
  <c r="L95" i="5"/>
  <c r="K95" i="5"/>
  <c r="M53" i="5"/>
  <c r="L53" i="5"/>
  <c r="K53" i="5"/>
  <c r="M20" i="5"/>
  <c r="L20" i="5"/>
  <c r="K20" i="5"/>
  <c r="M19" i="5"/>
  <c r="L19" i="5"/>
  <c r="K19" i="5"/>
  <c r="M18" i="5"/>
  <c r="L18" i="5"/>
  <c r="K18" i="5"/>
  <c r="M94" i="5"/>
  <c r="L94" i="5"/>
  <c r="K94" i="5"/>
  <c r="M48" i="5"/>
  <c r="L48" i="5"/>
  <c r="K48" i="5"/>
  <c r="M93" i="5"/>
  <c r="L93" i="5"/>
  <c r="K93" i="5"/>
  <c r="M92" i="5"/>
  <c r="L92" i="5"/>
  <c r="K92" i="5"/>
  <c r="M91" i="5"/>
  <c r="L91" i="5"/>
  <c r="K91" i="5"/>
  <c r="M44" i="5"/>
  <c r="L44" i="5"/>
  <c r="K44" i="5"/>
  <c r="M90" i="5"/>
  <c r="L90" i="5"/>
  <c r="K90" i="5"/>
  <c r="M89" i="5"/>
  <c r="L89" i="5"/>
  <c r="K89" i="5"/>
  <c r="M41" i="5"/>
  <c r="L41" i="5"/>
  <c r="K41" i="5"/>
  <c r="M40" i="5"/>
  <c r="L40" i="5"/>
  <c r="K40" i="5"/>
  <c r="M88" i="5"/>
  <c r="L88" i="5"/>
  <c r="K88" i="5"/>
  <c r="M84" i="5"/>
  <c r="L84" i="5"/>
  <c r="K84" i="5"/>
  <c r="M37" i="5"/>
  <c r="L37" i="5"/>
  <c r="K37" i="5"/>
  <c r="M82" i="5"/>
  <c r="L82" i="5"/>
  <c r="K82" i="5"/>
  <c r="M35" i="5"/>
  <c r="L35" i="5"/>
  <c r="K35" i="5"/>
  <c r="M34" i="5"/>
  <c r="L34" i="5"/>
  <c r="K34" i="5"/>
  <c r="M81" i="5"/>
  <c r="L81" i="5"/>
  <c r="K81" i="5"/>
  <c r="M79" i="5"/>
  <c r="L79" i="5"/>
  <c r="K79" i="5"/>
  <c r="M77" i="5"/>
  <c r="L77" i="5"/>
  <c r="K77" i="5"/>
  <c r="M30" i="5"/>
  <c r="L30" i="5"/>
  <c r="K30" i="5"/>
  <c r="M73" i="5"/>
  <c r="L73" i="5"/>
  <c r="K73" i="5"/>
  <c r="M28" i="5"/>
  <c r="L28" i="5"/>
  <c r="K28" i="5"/>
  <c r="M69" i="5"/>
  <c r="L69" i="5"/>
  <c r="K69" i="5"/>
  <c r="M26" i="5"/>
  <c r="L26" i="5"/>
  <c r="K26" i="5"/>
  <c r="M25" i="5"/>
  <c r="L25" i="5"/>
  <c r="K25" i="5"/>
  <c r="M67" i="5"/>
  <c r="L67" i="5"/>
  <c r="K67" i="5"/>
  <c r="M23" i="5"/>
  <c r="L23" i="5"/>
  <c r="K23" i="5"/>
  <c r="M22" i="5"/>
  <c r="L22" i="5"/>
  <c r="K22" i="5"/>
  <c r="M21" i="5"/>
  <c r="L21" i="5"/>
  <c r="K21" i="5"/>
  <c r="M66" i="5"/>
  <c r="L66" i="5"/>
  <c r="K66" i="5"/>
  <c r="M64" i="5"/>
  <c r="L64" i="5"/>
  <c r="K64" i="5"/>
  <c r="M63" i="5"/>
  <c r="L63" i="5"/>
  <c r="K63" i="5"/>
  <c r="M17" i="5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J102" i="5"/>
  <c r="I102" i="5"/>
  <c r="H102" i="5"/>
  <c r="G102" i="5"/>
  <c r="F102" i="5"/>
  <c r="E102" i="5"/>
  <c r="D102" i="5"/>
  <c r="C102" i="5"/>
  <c r="J60" i="5"/>
  <c r="I60" i="5"/>
  <c r="H60" i="5"/>
  <c r="G60" i="5"/>
  <c r="F60" i="5"/>
  <c r="E60" i="5"/>
  <c r="D60" i="5"/>
  <c r="C60" i="5"/>
  <c r="J59" i="5"/>
  <c r="I59" i="5"/>
  <c r="H59" i="5"/>
  <c r="G59" i="5"/>
  <c r="F59" i="5"/>
  <c r="E59" i="5"/>
  <c r="D59" i="5"/>
  <c r="C59" i="5"/>
  <c r="J57" i="5"/>
  <c r="I57" i="5"/>
  <c r="H57" i="5"/>
  <c r="G57" i="5"/>
  <c r="F57" i="5"/>
  <c r="E57" i="5"/>
  <c r="D57" i="5"/>
  <c r="C57" i="5"/>
  <c r="J56" i="5"/>
  <c r="I56" i="5"/>
  <c r="H56" i="5"/>
  <c r="G56" i="5"/>
  <c r="F56" i="5"/>
  <c r="E56" i="5"/>
  <c r="D56" i="5"/>
  <c r="C56" i="5"/>
  <c r="J55" i="5"/>
  <c r="I55" i="5"/>
  <c r="H55" i="5"/>
  <c r="G55" i="5"/>
  <c r="F55" i="5"/>
  <c r="E55" i="5"/>
  <c r="D55" i="5"/>
  <c r="C55" i="5"/>
  <c r="J54" i="5"/>
  <c r="I54" i="5"/>
  <c r="H54" i="5"/>
  <c r="G54" i="5"/>
  <c r="F54" i="5"/>
  <c r="E54" i="5"/>
  <c r="D54" i="5"/>
  <c r="C54" i="5"/>
  <c r="J52" i="5"/>
  <c r="I52" i="5"/>
  <c r="H52" i="5"/>
  <c r="G52" i="5"/>
  <c r="F52" i="5"/>
  <c r="E52" i="5"/>
  <c r="D52" i="5"/>
  <c r="C52" i="5"/>
  <c r="J51" i="5"/>
  <c r="I51" i="5"/>
  <c r="H51" i="5"/>
  <c r="G51" i="5"/>
  <c r="F51" i="5"/>
  <c r="E51" i="5"/>
  <c r="D51" i="5"/>
  <c r="C51" i="5"/>
  <c r="J50" i="5"/>
  <c r="I50" i="5"/>
  <c r="H50" i="5"/>
  <c r="G50" i="5"/>
  <c r="F50" i="5"/>
  <c r="E50" i="5"/>
  <c r="D50" i="5"/>
  <c r="C50" i="5"/>
  <c r="J101" i="5"/>
  <c r="I101" i="5"/>
  <c r="H101" i="5"/>
  <c r="G101" i="5"/>
  <c r="F101" i="5"/>
  <c r="E101" i="5"/>
  <c r="D101" i="5"/>
  <c r="C101" i="5"/>
  <c r="J100" i="5"/>
  <c r="I100" i="5"/>
  <c r="H100" i="5"/>
  <c r="G100" i="5"/>
  <c r="F100" i="5"/>
  <c r="E100" i="5"/>
  <c r="D100" i="5"/>
  <c r="C100" i="5"/>
  <c r="J49" i="5"/>
  <c r="I49" i="5"/>
  <c r="H49" i="5"/>
  <c r="G49" i="5"/>
  <c r="F49" i="5"/>
  <c r="E49" i="5"/>
  <c r="D49" i="5"/>
  <c r="C49" i="5"/>
  <c r="J99" i="5"/>
  <c r="I99" i="5"/>
  <c r="H99" i="5"/>
  <c r="G99" i="5"/>
  <c r="F99" i="5"/>
  <c r="E99" i="5"/>
  <c r="D99" i="5"/>
  <c r="C99" i="5"/>
  <c r="J47" i="5"/>
  <c r="I47" i="5"/>
  <c r="H47" i="5"/>
  <c r="G47" i="5"/>
  <c r="F47" i="5"/>
  <c r="E47" i="5"/>
  <c r="D47" i="5"/>
  <c r="C47" i="5"/>
  <c r="J87" i="5"/>
  <c r="I87" i="5"/>
  <c r="H87" i="5"/>
  <c r="G87" i="5"/>
  <c r="F87" i="5"/>
  <c r="E87" i="5"/>
  <c r="D87" i="5"/>
  <c r="C87" i="5"/>
  <c r="J86" i="5"/>
  <c r="I86" i="5"/>
  <c r="H86" i="5"/>
  <c r="G86" i="5"/>
  <c r="F86" i="5"/>
  <c r="E86" i="5"/>
  <c r="D86" i="5"/>
  <c r="C86" i="5"/>
  <c r="J85" i="5"/>
  <c r="I85" i="5"/>
  <c r="H85" i="5"/>
  <c r="G85" i="5"/>
  <c r="F85" i="5"/>
  <c r="E85" i="5"/>
  <c r="D85" i="5"/>
  <c r="C85" i="5"/>
  <c r="J46" i="5"/>
  <c r="I46" i="5"/>
  <c r="H46" i="5"/>
  <c r="G46" i="5"/>
  <c r="F46" i="5"/>
  <c r="E46" i="5"/>
  <c r="D46" i="5"/>
  <c r="C46" i="5"/>
  <c r="J83" i="5"/>
  <c r="I83" i="5"/>
  <c r="H83" i="5"/>
  <c r="G83" i="5"/>
  <c r="F83" i="5"/>
  <c r="E83" i="5"/>
  <c r="D83" i="5"/>
  <c r="C83" i="5"/>
  <c r="J45" i="5"/>
  <c r="I45" i="5"/>
  <c r="H45" i="5"/>
  <c r="G45" i="5"/>
  <c r="F45" i="5"/>
  <c r="E45" i="5"/>
  <c r="D45" i="5"/>
  <c r="C45" i="5"/>
  <c r="J43" i="5"/>
  <c r="I43" i="5"/>
  <c r="H43" i="5"/>
  <c r="G43" i="5"/>
  <c r="F43" i="5"/>
  <c r="E43" i="5"/>
  <c r="D43" i="5"/>
  <c r="C43" i="5"/>
  <c r="J80" i="5"/>
  <c r="I80" i="5"/>
  <c r="H80" i="5"/>
  <c r="G80" i="5"/>
  <c r="F80" i="5"/>
  <c r="E80" i="5"/>
  <c r="D80" i="5"/>
  <c r="C80" i="5"/>
  <c r="J42" i="5"/>
  <c r="I42" i="5"/>
  <c r="H42" i="5"/>
  <c r="G42" i="5"/>
  <c r="F42" i="5"/>
  <c r="E42" i="5"/>
  <c r="D42" i="5"/>
  <c r="C42" i="5"/>
  <c r="J78" i="5"/>
  <c r="I78" i="5"/>
  <c r="H78" i="5"/>
  <c r="G78" i="5"/>
  <c r="F78" i="5"/>
  <c r="E78" i="5"/>
  <c r="D78" i="5"/>
  <c r="C78" i="5"/>
  <c r="J39" i="5"/>
  <c r="I39" i="5"/>
  <c r="H39" i="5"/>
  <c r="G39" i="5"/>
  <c r="F39" i="5"/>
  <c r="E39" i="5"/>
  <c r="D39" i="5"/>
  <c r="C39" i="5"/>
  <c r="J76" i="5"/>
  <c r="I76" i="5"/>
  <c r="H76" i="5"/>
  <c r="G76" i="5"/>
  <c r="F76" i="5"/>
  <c r="E76" i="5"/>
  <c r="D76" i="5"/>
  <c r="C76" i="5"/>
  <c r="J75" i="5"/>
  <c r="I75" i="5"/>
  <c r="H75" i="5"/>
  <c r="G75" i="5"/>
  <c r="F75" i="5"/>
  <c r="E75" i="5"/>
  <c r="D75" i="5"/>
  <c r="C75" i="5"/>
  <c r="J74" i="5"/>
  <c r="I74" i="5"/>
  <c r="H74" i="5"/>
  <c r="G74" i="5"/>
  <c r="F74" i="5"/>
  <c r="E74" i="5"/>
  <c r="D74" i="5"/>
  <c r="C74" i="5"/>
  <c r="J38" i="5"/>
  <c r="I38" i="5"/>
  <c r="H38" i="5"/>
  <c r="G38" i="5"/>
  <c r="F38" i="5"/>
  <c r="E38" i="5"/>
  <c r="D38" i="5"/>
  <c r="C38" i="5"/>
  <c r="J72" i="5"/>
  <c r="I72" i="5"/>
  <c r="H72" i="5"/>
  <c r="G72" i="5"/>
  <c r="F72" i="5"/>
  <c r="E72" i="5"/>
  <c r="D72" i="5"/>
  <c r="C72" i="5"/>
  <c r="J71" i="5"/>
  <c r="I71" i="5"/>
  <c r="H71" i="5"/>
  <c r="G71" i="5"/>
  <c r="F71" i="5"/>
  <c r="E71" i="5"/>
  <c r="D71" i="5"/>
  <c r="C71" i="5"/>
  <c r="J70" i="5"/>
  <c r="I70" i="5"/>
  <c r="H70" i="5"/>
  <c r="G70" i="5"/>
  <c r="F70" i="5"/>
  <c r="E70" i="5"/>
  <c r="D70" i="5"/>
  <c r="C70" i="5"/>
  <c r="J36" i="5"/>
  <c r="I36" i="5"/>
  <c r="H36" i="5"/>
  <c r="G36" i="5"/>
  <c r="F36" i="5"/>
  <c r="E36" i="5"/>
  <c r="D36" i="5"/>
  <c r="C36" i="5"/>
  <c r="J68" i="5"/>
  <c r="I68" i="5"/>
  <c r="H68" i="5"/>
  <c r="G68" i="5"/>
  <c r="F68" i="5"/>
  <c r="E68" i="5"/>
  <c r="D68" i="5"/>
  <c r="C68" i="5"/>
  <c r="J33" i="5"/>
  <c r="I33" i="5"/>
  <c r="H33" i="5"/>
  <c r="G33" i="5"/>
  <c r="F33" i="5"/>
  <c r="E33" i="5"/>
  <c r="D33" i="5"/>
  <c r="C33" i="5"/>
  <c r="J98" i="5"/>
  <c r="I98" i="5"/>
  <c r="H98" i="5"/>
  <c r="G98" i="5"/>
  <c r="F98" i="5"/>
  <c r="E98" i="5"/>
  <c r="D98" i="5"/>
  <c r="C98" i="5"/>
  <c r="J65" i="5"/>
  <c r="I65" i="5"/>
  <c r="H65" i="5"/>
  <c r="G65" i="5"/>
  <c r="F65" i="5"/>
  <c r="E65" i="5"/>
  <c r="D65" i="5"/>
  <c r="C65" i="5"/>
  <c r="J97" i="5"/>
  <c r="I97" i="5"/>
  <c r="H97" i="5"/>
  <c r="G97" i="5"/>
  <c r="F97" i="5"/>
  <c r="E97" i="5"/>
  <c r="D97" i="5"/>
  <c r="C97" i="5"/>
  <c r="J96" i="5"/>
  <c r="I96" i="5"/>
  <c r="H96" i="5"/>
  <c r="G96" i="5"/>
  <c r="F96" i="5"/>
  <c r="E96" i="5"/>
  <c r="D96" i="5"/>
  <c r="C96" i="5"/>
  <c r="J62" i="5"/>
  <c r="I62" i="5"/>
  <c r="H62" i="5"/>
  <c r="G62" i="5"/>
  <c r="F62" i="5"/>
  <c r="E62" i="5"/>
  <c r="D62" i="5"/>
  <c r="C62" i="5"/>
  <c r="J61" i="5"/>
  <c r="I61" i="5"/>
  <c r="H61" i="5"/>
  <c r="G61" i="5"/>
  <c r="F61" i="5"/>
  <c r="E61" i="5"/>
  <c r="D61" i="5"/>
  <c r="C61" i="5"/>
  <c r="J32" i="5"/>
  <c r="I32" i="5"/>
  <c r="H32" i="5"/>
  <c r="G32" i="5"/>
  <c r="F32" i="5"/>
  <c r="E32" i="5"/>
  <c r="D32" i="5"/>
  <c r="C32" i="5"/>
  <c r="J31" i="5"/>
  <c r="I31" i="5"/>
  <c r="H31" i="5"/>
  <c r="G31" i="5"/>
  <c r="F31" i="5"/>
  <c r="E31" i="5"/>
  <c r="D31" i="5"/>
  <c r="C31" i="5"/>
  <c r="J58" i="5"/>
  <c r="I58" i="5"/>
  <c r="H58" i="5"/>
  <c r="G58" i="5"/>
  <c r="F58" i="5"/>
  <c r="E58" i="5"/>
  <c r="D58" i="5"/>
  <c r="C58" i="5"/>
  <c r="J29" i="5"/>
  <c r="I29" i="5"/>
  <c r="H29" i="5"/>
  <c r="G29" i="5"/>
  <c r="F29" i="5"/>
  <c r="E29" i="5"/>
  <c r="D29" i="5"/>
  <c r="C29" i="5"/>
  <c r="J27" i="5"/>
  <c r="I27" i="5"/>
  <c r="H27" i="5"/>
  <c r="G27" i="5"/>
  <c r="F27" i="5"/>
  <c r="E27" i="5"/>
  <c r="D27" i="5"/>
  <c r="C27" i="5"/>
  <c r="J24" i="5"/>
  <c r="I24" i="5"/>
  <c r="H24" i="5"/>
  <c r="G24" i="5"/>
  <c r="F24" i="5"/>
  <c r="E24" i="5"/>
  <c r="D24" i="5"/>
  <c r="C24" i="5"/>
  <c r="J95" i="5"/>
  <c r="I95" i="5"/>
  <c r="H95" i="5"/>
  <c r="G95" i="5"/>
  <c r="F95" i="5"/>
  <c r="E95" i="5"/>
  <c r="D95" i="5"/>
  <c r="C95" i="5"/>
  <c r="J53" i="5"/>
  <c r="I53" i="5"/>
  <c r="H53" i="5"/>
  <c r="G53" i="5"/>
  <c r="F53" i="5"/>
  <c r="E53" i="5"/>
  <c r="D53" i="5"/>
  <c r="C53" i="5"/>
  <c r="J20" i="5"/>
  <c r="I20" i="5"/>
  <c r="H20" i="5"/>
  <c r="G20" i="5"/>
  <c r="F20" i="5"/>
  <c r="E20" i="5"/>
  <c r="D20" i="5"/>
  <c r="C20" i="5"/>
  <c r="J19" i="5"/>
  <c r="I19" i="5"/>
  <c r="H19" i="5"/>
  <c r="G19" i="5"/>
  <c r="F19" i="5"/>
  <c r="E19" i="5"/>
  <c r="D19" i="5"/>
  <c r="C19" i="5"/>
  <c r="J18" i="5"/>
  <c r="I18" i="5"/>
  <c r="H18" i="5"/>
  <c r="G18" i="5"/>
  <c r="F18" i="5"/>
  <c r="E18" i="5"/>
  <c r="D18" i="5"/>
  <c r="C18" i="5"/>
  <c r="J94" i="5"/>
  <c r="I94" i="5"/>
  <c r="H94" i="5"/>
  <c r="G94" i="5"/>
  <c r="F94" i="5"/>
  <c r="E94" i="5"/>
  <c r="D94" i="5"/>
  <c r="C94" i="5"/>
  <c r="J48" i="5"/>
  <c r="I48" i="5"/>
  <c r="H48" i="5"/>
  <c r="G48" i="5"/>
  <c r="F48" i="5"/>
  <c r="E48" i="5"/>
  <c r="D48" i="5"/>
  <c r="C48" i="5"/>
  <c r="J93" i="5"/>
  <c r="I93" i="5"/>
  <c r="H93" i="5"/>
  <c r="G93" i="5"/>
  <c r="F93" i="5"/>
  <c r="E93" i="5"/>
  <c r="D93" i="5"/>
  <c r="C93" i="5"/>
  <c r="J92" i="5"/>
  <c r="I92" i="5"/>
  <c r="H92" i="5"/>
  <c r="G92" i="5"/>
  <c r="F92" i="5"/>
  <c r="E92" i="5"/>
  <c r="D92" i="5"/>
  <c r="C92" i="5"/>
  <c r="J91" i="5"/>
  <c r="I91" i="5"/>
  <c r="H91" i="5"/>
  <c r="G91" i="5"/>
  <c r="F91" i="5"/>
  <c r="E91" i="5"/>
  <c r="D91" i="5"/>
  <c r="C91" i="5"/>
  <c r="J44" i="5"/>
  <c r="I44" i="5"/>
  <c r="H44" i="5"/>
  <c r="G44" i="5"/>
  <c r="F44" i="5"/>
  <c r="E44" i="5"/>
  <c r="D44" i="5"/>
  <c r="C44" i="5"/>
  <c r="J90" i="5"/>
  <c r="I90" i="5"/>
  <c r="H90" i="5"/>
  <c r="G90" i="5"/>
  <c r="F90" i="5"/>
  <c r="E90" i="5"/>
  <c r="D90" i="5"/>
  <c r="C90" i="5"/>
  <c r="J89" i="5"/>
  <c r="I89" i="5"/>
  <c r="H89" i="5"/>
  <c r="G89" i="5"/>
  <c r="F89" i="5"/>
  <c r="E89" i="5"/>
  <c r="D89" i="5"/>
  <c r="C89" i="5"/>
  <c r="J41" i="5"/>
  <c r="I41" i="5"/>
  <c r="H41" i="5"/>
  <c r="G41" i="5"/>
  <c r="F41" i="5"/>
  <c r="E41" i="5"/>
  <c r="D41" i="5"/>
  <c r="C41" i="5"/>
  <c r="J40" i="5"/>
  <c r="I40" i="5"/>
  <c r="H40" i="5"/>
  <c r="G40" i="5"/>
  <c r="F40" i="5"/>
  <c r="E40" i="5"/>
  <c r="D40" i="5"/>
  <c r="C40" i="5"/>
  <c r="J88" i="5"/>
  <c r="I88" i="5"/>
  <c r="H88" i="5"/>
  <c r="G88" i="5"/>
  <c r="F88" i="5"/>
  <c r="E88" i="5"/>
  <c r="D88" i="5"/>
  <c r="C88" i="5"/>
  <c r="J84" i="5"/>
  <c r="I84" i="5"/>
  <c r="H84" i="5"/>
  <c r="G84" i="5"/>
  <c r="F84" i="5"/>
  <c r="E84" i="5"/>
  <c r="D84" i="5"/>
  <c r="C84" i="5"/>
  <c r="J37" i="5"/>
  <c r="I37" i="5"/>
  <c r="H37" i="5"/>
  <c r="G37" i="5"/>
  <c r="F37" i="5"/>
  <c r="E37" i="5"/>
  <c r="D37" i="5"/>
  <c r="C37" i="5"/>
  <c r="J82" i="5"/>
  <c r="I82" i="5"/>
  <c r="H82" i="5"/>
  <c r="G82" i="5"/>
  <c r="F82" i="5"/>
  <c r="E82" i="5"/>
  <c r="D82" i="5"/>
  <c r="C82" i="5"/>
  <c r="J35" i="5"/>
  <c r="I35" i="5"/>
  <c r="H35" i="5"/>
  <c r="G35" i="5"/>
  <c r="F35" i="5"/>
  <c r="E35" i="5"/>
  <c r="D35" i="5"/>
  <c r="C35" i="5"/>
  <c r="J34" i="5"/>
  <c r="I34" i="5"/>
  <c r="H34" i="5"/>
  <c r="G34" i="5"/>
  <c r="F34" i="5"/>
  <c r="E34" i="5"/>
  <c r="D34" i="5"/>
  <c r="C34" i="5"/>
  <c r="J81" i="5"/>
  <c r="I81" i="5"/>
  <c r="H81" i="5"/>
  <c r="G81" i="5"/>
  <c r="F81" i="5"/>
  <c r="E81" i="5"/>
  <c r="D81" i="5"/>
  <c r="C81" i="5"/>
  <c r="J79" i="5"/>
  <c r="I79" i="5"/>
  <c r="H79" i="5"/>
  <c r="G79" i="5"/>
  <c r="F79" i="5"/>
  <c r="E79" i="5"/>
  <c r="D79" i="5"/>
  <c r="C79" i="5"/>
  <c r="J77" i="5"/>
  <c r="I77" i="5"/>
  <c r="H77" i="5"/>
  <c r="G77" i="5"/>
  <c r="F77" i="5"/>
  <c r="E77" i="5"/>
  <c r="D77" i="5"/>
  <c r="C77" i="5"/>
  <c r="J30" i="5"/>
  <c r="I30" i="5"/>
  <c r="H30" i="5"/>
  <c r="G30" i="5"/>
  <c r="F30" i="5"/>
  <c r="E30" i="5"/>
  <c r="D30" i="5"/>
  <c r="C30" i="5"/>
  <c r="J73" i="5"/>
  <c r="I73" i="5"/>
  <c r="H73" i="5"/>
  <c r="G73" i="5"/>
  <c r="F73" i="5"/>
  <c r="E73" i="5"/>
  <c r="D73" i="5"/>
  <c r="C73" i="5"/>
  <c r="J28" i="5"/>
  <c r="I28" i="5"/>
  <c r="H28" i="5"/>
  <c r="G28" i="5"/>
  <c r="F28" i="5"/>
  <c r="E28" i="5"/>
  <c r="D28" i="5"/>
  <c r="C28" i="5"/>
  <c r="J69" i="5"/>
  <c r="I69" i="5"/>
  <c r="H69" i="5"/>
  <c r="G69" i="5"/>
  <c r="F69" i="5"/>
  <c r="E69" i="5"/>
  <c r="D69" i="5"/>
  <c r="C69" i="5"/>
  <c r="J26" i="5"/>
  <c r="I26" i="5"/>
  <c r="H26" i="5"/>
  <c r="G26" i="5"/>
  <c r="F26" i="5"/>
  <c r="E26" i="5"/>
  <c r="D26" i="5"/>
  <c r="C26" i="5"/>
  <c r="J25" i="5"/>
  <c r="I25" i="5"/>
  <c r="H25" i="5"/>
  <c r="G25" i="5"/>
  <c r="F25" i="5"/>
  <c r="E25" i="5"/>
  <c r="D25" i="5"/>
  <c r="C25" i="5"/>
  <c r="J67" i="5"/>
  <c r="I67" i="5"/>
  <c r="H67" i="5"/>
  <c r="G67" i="5"/>
  <c r="F67" i="5"/>
  <c r="E67" i="5"/>
  <c r="D67" i="5"/>
  <c r="C67" i="5"/>
  <c r="J23" i="5"/>
  <c r="I23" i="5"/>
  <c r="H23" i="5"/>
  <c r="G23" i="5"/>
  <c r="F23" i="5"/>
  <c r="E23" i="5"/>
  <c r="D23" i="5"/>
  <c r="C23" i="5"/>
  <c r="J22" i="5"/>
  <c r="I22" i="5"/>
  <c r="H22" i="5"/>
  <c r="G22" i="5"/>
  <c r="F22" i="5"/>
  <c r="E22" i="5"/>
  <c r="D22" i="5"/>
  <c r="C22" i="5"/>
  <c r="J21" i="5"/>
  <c r="I21" i="5"/>
  <c r="H21" i="5"/>
  <c r="G21" i="5"/>
  <c r="F21" i="5"/>
  <c r="E21" i="5"/>
  <c r="D21" i="5"/>
  <c r="C21" i="5"/>
  <c r="J66" i="5"/>
  <c r="I66" i="5"/>
  <c r="H66" i="5"/>
  <c r="G66" i="5"/>
  <c r="F66" i="5"/>
  <c r="E66" i="5"/>
  <c r="D66" i="5"/>
  <c r="C66" i="5"/>
  <c r="J64" i="5"/>
  <c r="I64" i="5"/>
  <c r="H64" i="5"/>
  <c r="G64" i="5"/>
  <c r="F64" i="5"/>
  <c r="E64" i="5"/>
  <c r="D64" i="5"/>
  <c r="C64" i="5"/>
  <c r="J63" i="5"/>
  <c r="I63" i="5"/>
  <c r="H63" i="5"/>
  <c r="G63" i="5"/>
  <c r="F63" i="5"/>
  <c r="E63" i="5"/>
  <c r="D63" i="5"/>
  <c r="C63" i="5"/>
  <c r="J17" i="5"/>
  <c r="I17" i="5"/>
  <c r="H17" i="5"/>
  <c r="G17" i="5"/>
  <c r="F17" i="5"/>
  <c r="E17" i="5"/>
  <c r="D17" i="5"/>
  <c r="C17" i="5"/>
  <c r="J16" i="5"/>
  <c r="I16" i="5"/>
  <c r="H16" i="5"/>
  <c r="G16" i="5"/>
  <c r="F16" i="5"/>
  <c r="E16" i="5"/>
  <c r="D16" i="5"/>
  <c r="C16" i="5"/>
  <c r="J15" i="5"/>
  <c r="I15" i="5"/>
  <c r="H15" i="5"/>
  <c r="G15" i="5"/>
  <c r="F15" i="5"/>
  <c r="E15" i="5"/>
  <c r="D15" i="5"/>
  <c r="C15" i="5"/>
  <c r="J14" i="5"/>
  <c r="I14" i="5"/>
  <c r="H14" i="5"/>
  <c r="G14" i="5"/>
  <c r="F14" i="5"/>
  <c r="E14" i="5"/>
  <c r="D14" i="5"/>
  <c r="C14" i="5"/>
  <c r="J13" i="5"/>
  <c r="I13" i="5"/>
  <c r="H13" i="5"/>
  <c r="G13" i="5"/>
  <c r="F13" i="5"/>
  <c r="E13" i="5"/>
  <c r="D13" i="5"/>
  <c r="C13" i="5"/>
  <c r="J12" i="5"/>
  <c r="I12" i="5"/>
  <c r="H12" i="5"/>
  <c r="G12" i="5"/>
  <c r="F12" i="5"/>
  <c r="E12" i="5"/>
  <c r="D12" i="5"/>
  <c r="C12" i="5"/>
  <c r="J11" i="5"/>
  <c r="I11" i="5"/>
  <c r="H11" i="5"/>
  <c r="G11" i="5"/>
  <c r="F11" i="5"/>
  <c r="E11" i="5"/>
  <c r="D11" i="5"/>
  <c r="C11" i="5"/>
  <c r="J10" i="5"/>
  <c r="I10" i="5"/>
  <c r="H10" i="5"/>
  <c r="G10" i="5"/>
  <c r="F10" i="5"/>
  <c r="E10" i="5"/>
  <c r="D10" i="5"/>
  <c r="C10" i="5"/>
  <c r="J9" i="5"/>
  <c r="I9" i="5"/>
  <c r="H9" i="5"/>
  <c r="G9" i="5"/>
  <c r="F9" i="5"/>
  <c r="E9" i="5"/>
  <c r="D9" i="5"/>
  <c r="C9" i="5"/>
  <c r="J8" i="5"/>
  <c r="I8" i="5"/>
  <c r="H8" i="5"/>
  <c r="G8" i="5"/>
  <c r="F8" i="5"/>
  <c r="E8" i="5"/>
  <c r="D8" i="5"/>
  <c r="C8" i="5"/>
  <c r="J7" i="5"/>
  <c r="I7" i="5"/>
  <c r="H7" i="5"/>
  <c r="G7" i="5"/>
  <c r="F7" i="5"/>
  <c r="E7" i="5"/>
  <c r="D7" i="5"/>
  <c r="C7" i="5"/>
  <c r="J6" i="5"/>
  <c r="I6" i="5"/>
  <c r="H6" i="5"/>
  <c r="G6" i="5"/>
  <c r="F6" i="5"/>
  <c r="E6" i="5"/>
  <c r="D6" i="5"/>
  <c r="C6" i="5"/>
  <c r="J5" i="5"/>
  <c r="I5" i="5"/>
  <c r="H5" i="5"/>
  <c r="G5" i="5"/>
  <c r="F5" i="5"/>
  <c r="E5" i="5"/>
  <c r="D5" i="5"/>
  <c r="C5" i="5"/>
  <c r="J4" i="5"/>
  <c r="I4" i="5"/>
  <c r="H4" i="5"/>
  <c r="G4" i="5"/>
  <c r="F4" i="5"/>
  <c r="E4" i="5"/>
  <c r="D4" i="5"/>
  <c r="C4" i="5"/>
  <c r="J3" i="5"/>
  <c r="I3" i="5"/>
  <c r="H3" i="5"/>
  <c r="G3" i="5"/>
  <c r="F3" i="5"/>
  <c r="E3" i="5"/>
  <c r="D3" i="5"/>
  <c r="C3" i="5"/>
  <c r="J2" i="5"/>
  <c r="I2" i="5"/>
  <c r="H2" i="5"/>
  <c r="G2" i="5"/>
  <c r="F2" i="5"/>
  <c r="E2" i="5"/>
  <c r="D2" i="5"/>
  <c r="C2" i="5"/>
  <c r="N106" i="5" l="1" a="1"/>
  <c r="N105" i="5" a="1"/>
  <c r="N104" i="5" a="1"/>
  <c r="N103" i="5" a="1"/>
  <c r="Q106" i="5" a="1"/>
  <c r="O106" i="5" a="1"/>
  <c r="Q105" i="5" a="1"/>
  <c r="O105" i="5" a="1"/>
  <c r="Q104" i="5" a="1"/>
  <c r="O104" i="5" a="1"/>
  <c r="Q103" i="5" a="1"/>
  <c r="O103" i="5" a="1"/>
  <c r="N94" i="5" a="1"/>
  <c r="Q94" i="5" s="1" a="1"/>
  <c r="N57" i="5" a="1"/>
  <c r="Q57" i="5" s="1" a="1"/>
  <c r="N56" i="5" a="1"/>
  <c r="Q56" i="5" s="1" a="1"/>
  <c r="N55" i="5" a="1"/>
  <c r="Q55" i="5" s="1" a="1"/>
  <c r="N102" i="5" a="1"/>
  <c r="Q102" i="5" s="1" a="1"/>
  <c r="N60" i="5" a="1"/>
  <c r="Q60" i="5" s="1" a="1"/>
  <c r="N59" i="5" a="1"/>
  <c r="Q59" i="5" s="1" a="1"/>
  <c r="N54" i="5" a="1"/>
  <c r="Q54" i="5" s="1" a="1"/>
  <c r="N52" i="5" a="1"/>
  <c r="Q52" i="5" s="1" a="1"/>
  <c r="N51" i="5" a="1"/>
  <c r="Q51" i="5" s="1" a="1"/>
  <c r="N50" i="5" a="1"/>
  <c r="Q50" i="5" s="1" a="1"/>
  <c r="N101" i="5" a="1"/>
  <c r="Q101" i="5" s="1" a="1"/>
  <c r="N100" i="5" a="1"/>
  <c r="Q100" i="5" s="1" a="1"/>
  <c r="N49" i="5" a="1"/>
  <c r="Q49" i="5" s="1" a="1"/>
  <c r="N99" i="5" a="1"/>
  <c r="Q99" i="5" s="1" a="1"/>
  <c r="N47" i="5" a="1"/>
  <c r="Q47" i="5" s="1" a="1"/>
  <c r="N87" i="5" a="1"/>
  <c r="Q87" i="5" s="1" a="1"/>
  <c r="N86" i="5" a="1"/>
  <c r="Q86" i="5" s="1" a="1"/>
  <c r="N85" i="5" a="1"/>
  <c r="Q85" i="5" s="1" a="1"/>
  <c r="N46" i="5" a="1"/>
  <c r="Q46" i="5" s="1" a="1"/>
  <c r="N83" i="5" a="1"/>
  <c r="Q83" i="5" s="1" a="1"/>
  <c r="N45" i="5" a="1"/>
  <c r="Q45" i="5" s="1" a="1"/>
  <c r="N43" i="5" a="1"/>
  <c r="Q43" i="5" s="1" a="1"/>
  <c r="N80" i="5" a="1"/>
  <c r="Q80" i="5" s="1" a="1"/>
  <c r="N42" i="5" a="1"/>
  <c r="Q42" i="5" s="1" a="1"/>
  <c r="N78" i="5" a="1"/>
  <c r="Q78" i="5" s="1" a="1"/>
  <c r="N39" i="5" a="1"/>
  <c r="Q39" i="5" s="1" a="1"/>
  <c r="N76" i="5" a="1"/>
  <c r="Q76" i="5" s="1" a="1"/>
  <c r="N75" i="5" a="1"/>
  <c r="Q75" i="5" s="1" a="1"/>
  <c r="N74" i="5" a="1"/>
  <c r="Q74" i="5" s="1" a="1"/>
  <c r="N38" i="5" a="1"/>
  <c r="Q38" i="5" s="1" a="1"/>
  <c r="N72" i="5" a="1"/>
  <c r="Q72" i="5" s="1" a="1"/>
  <c r="N71" i="5" a="1"/>
  <c r="Q71" i="5" s="1" a="1"/>
  <c r="N70" i="5" a="1"/>
  <c r="Q70" i="5" s="1" a="1"/>
  <c r="N36" i="5" a="1"/>
  <c r="Q36" i="5" s="1" a="1"/>
  <c r="N68" i="5" a="1"/>
  <c r="Q68" i="5" s="1" a="1"/>
  <c r="N33" i="5" a="1"/>
  <c r="Q33" i="5" s="1" a="1"/>
  <c r="N98" i="5" a="1"/>
  <c r="Q98" i="5" s="1" a="1"/>
  <c r="N65" i="5" a="1"/>
  <c r="Q65" i="5" s="1" a="1"/>
  <c r="N97" i="5" a="1"/>
  <c r="Q97" i="5" s="1" a="1"/>
  <c r="N96" i="5" a="1"/>
  <c r="Q96" i="5" s="1" a="1"/>
  <c r="N62" i="5" a="1"/>
  <c r="Q62" i="5" s="1" a="1"/>
  <c r="N61" i="5" a="1"/>
  <c r="Q61" i="5" s="1" a="1"/>
  <c r="N32" i="5" a="1"/>
  <c r="Q32" i="5" s="1" a="1"/>
  <c r="N31" i="5" a="1"/>
  <c r="Q31" i="5" s="1" a="1"/>
  <c r="N58" i="5" a="1"/>
  <c r="Q58" i="5" s="1" a="1"/>
  <c r="N29" i="5" a="1"/>
  <c r="Q29" i="5" s="1" a="1"/>
  <c r="N27" i="5" a="1"/>
  <c r="Q27" i="5" s="1" a="1"/>
  <c r="N24" i="5" a="1"/>
  <c r="Q24" i="5" s="1" a="1"/>
  <c r="N95" i="5" a="1"/>
  <c r="Q95" i="5" s="1" a="1"/>
  <c r="N53" i="5" a="1"/>
  <c r="Q53" i="5" s="1" a="1"/>
  <c r="N20" i="5" a="1"/>
  <c r="Q20" i="5" s="1" a="1"/>
  <c r="N48" i="5" a="1"/>
  <c r="Q48" i="5" s="1" a="1"/>
  <c r="N93" i="5" a="1"/>
  <c r="Q93" i="5" s="1" a="1"/>
  <c r="N92" i="5" a="1"/>
  <c r="Q92" i="5" s="1" a="1"/>
  <c r="N91" i="5" a="1"/>
  <c r="Q91" i="5" s="1" a="1"/>
  <c r="N44" i="5" a="1"/>
  <c r="Q44" i="5" s="1" a="1"/>
  <c r="N90" i="5" a="1"/>
  <c r="Q90" i="5" s="1" a="1"/>
  <c r="N89" i="5" a="1"/>
  <c r="Q89" i="5" s="1" a="1"/>
  <c r="N41" i="5" a="1"/>
  <c r="Q41" i="5" s="1" a="1"/>
  <c r="N40" i="5" a="1"/>
  <c r="Q40" i="5" s="1" a="1"/>
  <c r="N88" i="5" a="1"/>
  <c r="Q88" i="5" s="1" a="1"/>
  <c r="N84" i="5" a="1"/>
  <c r="Q84" i="5" s="1" a="1"/>
  <c r="N37" i="5" a="1"/>
  <c r="Q37" i="5" s="1" a="1"/>
  <c r="N82" i="5" a="1"/>
  <c r="Q82" i="5" s="1" a="1"/>
  <c r="N35" i="5" a="1"/>
  <c r="Q35" i="5" s="1" a="1"/>
  <c r="N34" i="5" a="1"/>
  <c r="Q34" i="5" s="1" a="1"/>
  <c r="N81" i="5" a="1"/>
  <c r="Q81" i="5" s="1" a="1"/>
  <c r="N79" i="5" a="1"/>
  <c r="Q79" i="5" s="1" a="1"/>
  <c r="N77" i="5" a="1"/>
  <c r="Q77" i="5" s="1" a="1"/>
  <c r="N30" i="5" a="1"/>
  <c r="Q30" i="5" s="1" a="1"/>
  <c r="N73" i="5" a="1"/>
  <c r="Q73" i="5" s="1" a="1"/>
  <c r="N28" i="5" a="1"/>
  <c r="Q28" i="5" s="1" a="1"/>
  <c r="N69" i="5" a="1"/>
  <c r="Q69" i="5" s="1" a="1"/>
  <c r="N26" i="5" a="1"/>
  <c r="Q26" i="5" s="1" a="1"/>
  <c r="N25" i="5" a="1"/>
  <c r="Q25" i="5" s="1" a="1"/>
  <c r="N67" i="5" a="1"/>
  <c r="Q67" i="5" s="1" a="1"/>
  <c r="N23" i="5" a="1"/>
  <c r="Q23" i="5" s="1" a="1"/>
  <c r="N22" i="5" a="1"/>
  <c r="Q22" i="5" s="1" a="1"/>
  <c r="N21" i="5" a="1"/>
  <c r="Q21" i="5" s="1" a="1"/>
  <c r="N66" i="5" a="1"/>
  <c r="Q66" i="5" s="1" a="1"/>
  <c r="N64" i="5" a="1"/>
  <c r="Q64" i="5" s="1" a="1"/>
  <c r="N63" i="5" a="1"/>
  <c r="Q63" i="5" s="1" a="1"/>
  <c r="N17" i="5" a="1"/>
  <c r="Q17" i="5" s="1" a="1"/>
  <c r="N16" i="5" a="1"/>
  <c r="Q16" i="5" s="1" a="1"/>
  <c r="N15" i="5" a="1"/>
  <c r="Q15" i="5" s="1" a="1"/>
  <c r="N14" i="5" a="1"/>
  <c r="Q14" i="5" s="1" a="1"/>
  <c r="N13" i="5" a="1"/>
  <c r="Q13" i="5" s="1" a="1"/>
  <c r="N12" i="5" a="1"/>
  <c r="Q12" i="5" s="1" a="1"/>
  <c r="N11" i="5" a="1"/>
  <c r="Q11" i="5" s="1" a="1"/>
  <c r="N10" i="5" a="1"/>
  <c r="Q10" i="5" s="1" a="1"/>
  <c r="N9" i="5" a="1"/>
  <c r="Q9" i="5" s="1" a="1"/>
  <c r="N8" i="5" a="1"/>
  <c r="Q8" i="5" s="1" a="1"/>
  <c r="N7" i="5" a="1"/>
  <c r="Q7" i="5" s="1" a="1"/>
  <c r="N6" i="5" a="1"/>
  <c r="Q6" i="5" s="1" a="1"/>
  <c r="N5" i="5" a="1"/>
  <c r="Q5" i="5" s="1" a="1"/>
  <c r="N4" i="5" a="1"/>
  <c r="Q4" i="5" s="1" a="1"/>
  <c r="N3" i="5" a="1"/>
  <c r="Q3" i="5" s="1" a="1"/>
  <c r="N2" i="5" a="1"/>
  <c r="Q2" i="5" s="1" a="1"/>
  <c r="O102" i="5" a="1"/>
  <c r="O60" i="5" a="1"/>
  <c r="O59" i="5" a="1"/>
  <c r="O57" i="5" a="1"/>
  <c r="O56" i="5" a="1"/>
  <c r="O55" i="5" a="1"/>
  <c r="O54" i="5" a="1"/>
  <c r="O52" i="5" a="1"/>
  <c r="O51" i="5" a="1"/>
  <c r="O50" i="5" a="1"/>
  <c r="O101" i="5" a="1"/>
  <c r="O100" i="5" a="1"/>
  <c r="O49" i="5" a="1"/>
  <c r="O99" i="5" a="1"/>
  <c r="O47" i="5" a="1"/>
  <c r="O87" i="5" a="1"/>
  <c r="O86" i="5" a="1"/>
  <c r="O85" i="5" a="1"/>
  <c r="O46" i="5" a="1"/>
  <c r="O83" i="5" a="1"/>
  <c r="O45" i="5" a="1"/>
  <c r="O43" i="5" a="1"/>
  <c r="O80" i="5" a="1"/>
  <c r="O42" i="5" a="1"/>
  <c r="O78" i="5" a="1"/>
  <c r="O39" i="5" a="1"/>
  <c r="O76" i="5" a="1"/>
  <c r="O75" i="5" a="1"/>
  <c r="O74" i="5" a="1"/>
  <c r="O38" i="5" a="1"/>
  <c r="O72" i="5" a="1"/>
  <c r="O71" i="5" a="1"/>
  <c r="O70" i="5" a="1"/>
  <c r="O36" i="5" a="1"/>
  <c r="O68" i="5" a="1"/>
  <c r="O33" i="5" a="1"/>
  <c r="O98" i="5" a="1"/>
  <c r="O65" i="5" a="1"/>
  <c r="O97" i="5" a="1"/>
  <c r="O96" i="5" a="1"/>
  <c r="O62" i="5" a="1"/>
  <c r="O61" i="5" a="1"/>
  <c r="O32" i="5" a="1"/>
  <c r="O31" i="5" a="1"/>
  <c r="O58" i="5" a="1"/>
  <c r="O29" i="5" a="1"/>
  <c r="O27" i="5" a="1"/>
  <c r="O24" i="5" a="1"/>
  <c r="O95" i="5" a="1"/>
  <c r="O53" i="5" a="1"/>
  <c r="O20" i="5" a="1"/>
  <c r="O94" i="5" a="1"/>
  <c r="O48" i="5" a="1"/>
  <c r="O93" i="5" a="1"/>
  <c r="O92" i="5" a="1"/>
  <c r="O91" i="5" a="1"/>
  <c r="O44" i="5" a="1"/>
  <c r="O90" i="5" a="1"/>
  <c r="O89" i="5" a="1"/>
  <c r="O41" i="5" a="1"/>
  <c r="O40" i="5" a="1"/>
  <c r="O88" i="5" a="1"/>
  <c r="O84" i="5" a="1"/>
  <c r="O37" i="5" a="1"/>
  <c r="O82" i="5" a="1"/>
  <c r="O35" i="5" a="1"/>
  <c r="O34" i="5" a="1"/>
  <c r="O81" i="5" a="1"/>
  <c r="O79" i="5" a="1"/>
  <c r="O77" i="5" a="1"/>
  <c r="O30" i="5" a="1"/>
  <c r="O73" i="5" a="1"/>
  <c r="O28" i="5" a="1"/>
  <c r="O69" i="5" a="1"/>
  <c r="O26" i="5" a="1"/>
  <c r="O25" i="5" a="1"/>
  <c r="O67" i="5" a="1"/>
  <c r="O23" i="5" a="1"/>
  <c r="O22" i="5" a="1"/>
  <c r="O21" i="5" a="1"/>
  <c r="O66" i="5" a="1"/>
  <c r="O64" i="5" a="1"/>
  <c r="O63" i="5" a="1"/>
  <c r="O17" i="5" a="1"/>
  <c r="O16" i="5" a="1"/>
  <c r="O15" i="5" a="1"/>
  <c r="O14" i="5" a="1"/>
  <c r="O13" i="5" a="1"/>
  <c r="O12" i="5" a="1"/>
  <c r="O11" i="5" a="1"/>
  <c r="O10" i="5" a="1"/>
  <c r="O9" i="5" a="1"/>
  <c r="O8" i="5" a="1"/>
  <c r="O7" i="5" a="1"/>
  <c r="O6" i="5" a="1"/>
  <c r="O5" i="5" a="1"/>
  <c r="O4" i="5" a="1"/>
  <c r="O3" i="5" a="1"/>
  <c r="O2" i="5" a="1"/>
  <c r="N19" i="5" a="1"/>
  <c r="Q19" i="5" s="1" a="1"/>
  <c r="O19" i="5" a="1"/>
  <c r="O18" i="5" a="1"/>
  <c r="N18" i="5" a="1"/>
  <c r="Q18" i="5" s="1" a="1"/>
  <c r="S18" i="5" s="1" a="1"/>
  <c r="S106" i="5" l="1" a="1"/>
  <c r="S105" i="5" a="1"/>
  <c r="S104" i="5" a="1"/>
  <c r="S103" i="5" a="1"/>
  <c r="S19" i="5" a="1"/>
  <c r="S83" i="5" a="1"/>
  <c r="S45" i="5" a="1"/>
  <c r="S94" i="5" a="1"/>
  <c r="S57" i="5" a="1"/>
  <c r="S56" i="5" a="1"/>
  <c r="S55" i="5" a="1"/>
  <c r="S102" i="5" a="1"/>
  <c r="S60" i="5" a="1"/>
  <c r="S59" i="5" a="1"/>
  <c r="S54" i="5" a="1"/>
  <c r="S52" i="5" a="1"/>
  <c r="S51" i="5" a="1"/>
  <c r="S50" i="5" a="1"/>
  <c r="S101" i="5" a="1"/>
  <c r="S100" i="5" a="1"/>
  <c r="S49" i="5" a="1"/>
  <c r="S99" i="5" a="1"/>
  <c r="S47" i="5" a="1"/>
  <c r="S87" i="5" a="1"/>
  <c r="S86" i="5" a="1"/>
  <c r="S85" i="5" a="1"/>
  <c r="S46" i="5" a="1"/>
  <c r="S96" i="5" a="1"/>
  <c r="S62" i="5" a="1"/>
  <c r="S88" i="5" a="1"/>
  <c r="S37" i="5" a="1"/>
  <c r="S43" i="5" a="1"/>
  <c r="S80" i="5" a="1"/>
  <c r="S42" i="5" a="1"/>
  <c r="S78" i="5" a="1"/>
  <c r="S39" i="5" a="1"/>
  <c r="S76" i="5" a="1"/>
  <c r="S75" i="5" a="1"/>
  <c r="S74" i="5" a="1"/>
  <c r="S38" i="5" a="1"/>
  <c r="S72" i="5" a="1"/>
  <c r="S71" i="5" a="1"/>
  <c r="S70" i="5" a="1"/>
  <c r="S36" i="5" a="1"/>
  <c r="S68" i="5" a="1"/>
  <c r="S33" i="5" a="1"/>
  <c r="S98" i="5" a="1"/>
  <c r="S65" i="5" a="1"/>
  <c r="S97" i="5" a="1"/>
  <c r="S61" i="5" a="1"/>
  <c r="S40" i="5" a="1"/>
  <c r="S82" i="5" a="1"/>
  <c r="S32" i="5" a="1"/>
  <c r="S31" i="5" a="1"/>
  <c r="S58" i="5" a="1"/>
  <c r="S29" i="5" a="1"/>
  <c r="S27" i="5" a="1"/>
  <c r="S24" i="5" a="1"/>
  <c r="S95" i="5" a="1"/>
  <c r="S53" i="5" a="1"/>
  <c r="S20" i="5" a="1"/>
  <c r="S48" i="5" a="1"/>
  <c r="S93" i="5" a="1"/>
  <c r="S92" i="5" a="1"/>
  <c r="S91" i="5" a="1"/>
  <c r="S44" i="5" a="1"/>
  <c r="S90" i="5" a="1"/>
  <c r="S89" i="5" a="1"/>
  <c r="S41" i="5" a="1"/>
  <c r="S84" i="5" a="1"/>
  <c r="S14" i="5" a="1"/>
  <c r="S35" i="5" a="1"/>
  <c r="S34" i="5" a="1"/>
  <c r="S81" i="5" a="1"/>
  <c r="S79" i="5" a="1"/>
  <c r="S77" i="5" a="1"/>
  <c r="S30" i="5" a="1"/>
  <c r="S73" i="5" a="1"/>
  <c r="S28" i="5" a="1"/>
  <c r="S69" i="5" a="1"/>
  <c r="S26" i="5" a="1"/>
  <c r="S25" i="5" a="1"/>
  <c r="S67" i="5" a="1"/>
  <c r="S23" i="5" a="1"/>
  <c r="S22" i="5" a="1"/>
  <c r="S21" i="5" a="1"/>
  <c r="S66" i="5" a="1"/>
  <c r="S64" i="5" a="1"/>
  <c r="S63" i="5" a="1"/>
  <c r="S17" i="5" a="1"/>
  <c r="S16" i="5" a="1"/>
  <c r="S15" i="5" a="1"/>
  <c r="S13" i="5" a="1"/>
  <c r="S12" i="5" a="1"/>
  <c r="S11" i="5" a="1"/>
  <c r="S10" i="5" a="1"/>
  <c r="S9" i="5" a="1"/>
  <c r="S8" i="5" a="1"/>
  <c r="S7" i="5" a="1"/>
  <c r="S6" i="5" a="1"/>
  <c r="S5" i="5" a="1"/>
  <c r="S4" i="5" a="1"/>
  <c r="S3" i="5" a="1"/>
  <c r="S2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<sst xmlns="http://schemas.openxmlformats.org/spreadsheetml/2006/main" count="4907" uniqueCount="1481">
  <si>
    <t>No</t>
  </si>
  <si>
    <t>Site ID</t>
  </si>
  <si>
    <t>Pre Approval Cert#</t>
  </si>
  <si>
    <t>Perbaikan Assets Cert#</t>
  </si>
  <si>
    <t>Provider</t>
  </si>
  <si>
    <t>Project Provider</t>
  </si>
  <si>
    <t>Package</t>
  </si>
  <si>
    <t>Scope</t>
  </si>
  <si>
    <t>Material</t>
  </si>
  <si>
    <t>Quantity</t>
  </si>
  <si>
    <t>Generated By</t>
  </si>
  <si>
    <t>Date Created</t>
  </si>
  <si>
    <t>Current Phase</t>
  </si>
  <si>
    <t>Overall Status</t>
  </si>
  <si>
    <t>Pre Approval Status</t>
  </si>
  <si>
    <t>Request Status</t>
  </si>
  <si>
    <t>Perbaikan Assets Status</t>
  </si>
  <si>
    <t>Rejection Notes</t>
  </si>
  <si>
    <t>Canceled Notes</t>
  </si>
  <si>
    <t>KLB00171</t>
  </si>
  <si>
    <t>PRE-APPROVAL-KLAIM-GARANSI/PMO/IX/2026/0296</t>
  </si>
  <si>
    <t>-</t>
  </si>
  <si>
    <t>PT Alita Praya Mitra</t>
  </si>
  <si>
    <t>Kemitraan FH-TI-MTD</t>
  </si>
  <si>
    <t>Paket 6</t>
  </si>
  <si>
    <t>VSAT</t>
  </si>
  <si>
    <t>MODEM</t>
  </si>
  <si>
    <t>Bayu Ridho Triutomo</t>
  </si>
  <si>
    <t>24-09-2026 16:34</t>
  </si>
  <si>
    <t>PRE_APPROVAL</t>
  </si>
  <si>
    <t>IN_PROGRESS</t>
  </si>
  <si>
    <t>KLB00291</t>
  </si>
  <si>
    <t>PRE-APPROVAL-KLAIM-GARANSI/PMO/IX/2026/0295</t>
  </si>
  <si>
    <t>Power</t>
  </si>
  <si>
    <t>PERANGKAT SISTEM MONTORING ONLINE TERINTEGRASI</t>
  </si>
  <si>
    <t>24-09-2026 15:30</t>
  </si>
  <si>
    <t>KLB0041</t>
  </si>
  <si>
    <t>PRE-APPROVAL-KLAIM-GARANSI/PMO/IX/2026/0294</t>
  </si>
  <si>
    <t>Inverter 300W</t>
  </si>
  <si>
    <t>24-09-2026 15:20</t>
  </si>
  <si>
    <t>PRE-APPROVAL-KLAIM-GARANSI/PMO/IX/2026/0293</t>
  </si>
  <si>
    <t>BATERAI</t>
  </si>
  <si>
    <t>24-09-2026 15:16</t>
  </si>
  <si>
    <t xml:space="preserve">Pre Approval Klaim Garansi - KSO: "Foto kondisi fisik dari 4 sisi, sesuaikan dengan 
checklist power FH yang dibagikan oleh PMO power"
</t>
  </si>
  <si>
    <t>KLB00528</t>
  </si>
  <si>
    <t>PRE-APPROVAL-KLAIM-GARANSI/PMO/IX/2026/0274</t>
  </si>
  <si>
    <t>Solar Charge Controller</t>
  </si>
  <si>
    <t>22-09-2026 14:47</t>
  </si>
  <si>
    <t>KLT0018</t>
  </si>
  <si>
    <t>PRE-APPROVAL-KLAIM-GARANSI/PMO/IX/2026/0273</t>
  </si>
  <si>
    <t>INVERTER 300 W</t>
  </si>
  <si>
    <t>22-09-2026 14:46</t>
  </si>
  <si>
    <t>PRE-APPROVAL-KLAIM-GARANSI/PMO/IX/2026/0271</t>
  </si>
  <si>
    <t>22-09-2026 14:39</t>
  </si>
  <si>
    <t>KLI00037</t>
  </si>
  <si>
    <t>PRE-APPROVAL-KLAIM-GARANSI/PMO/IX/2026/0270</t>
  </si>
  <si>
    <t>BUC</t>
  </si>
  <si>
    <t>22-09-2026 14:32</t>
  </si>
  <si>
    <t>KLT00042</t>
  </si>
  <si>
    <t>PRE-APPROVAL-KLAIM-GARANSI/PMO/IX/2026/0264</t>
  </si>
  <si>
    <t>22-09-2026 14:25</t>
  </si>
  <si>
    <t>KLT00045</t>
  </si>
  <si>
    <t>PRE-APPROVAL-KLAIM-GARANSI/PMO/IX/2026/0255</t>
  </si>
  <si>
    <t>22-09-2026 13:51</t>
  </si>
  <si>
    <t>KLT00055</t>
  </si>
  <si>
    <t>PRE-APPROVAL-KLAIM-GARANSI/PMO/IX/2026/0227</t>
  </si>
  <si>
    <t>21-09-2026 14:03</t>
  </si>
  <si>
    <t>PRE-APPROVAL-KLAIM-GARANSI/PMO/IX/2026/0162</t>
  </si>
  <si>
    <t>16-09-2026 14:14</t>
  </si>
  <si>
    <t>Pre Approval Klaim Garansi - MSS: Evidence salah</t>
  </si>
  <si>
    <t>KLB00601</t>
  </si>
  <si>
    <t>PRE-APPROVAL-KLAIM-GARANSI/PMO/IX/2026/0153</t>
  </si>
  <si>
    <t>Battery</t>
  </si>
  <si>
    <t>16-09-2026 00:34</t>
  </si>
  <si>
    <t xml:space="preserve">Pre Approval Klaim Garansi - KSO: "tolong lengkapi evidance sesuaikan dengan 
template checklist power FH yang di bagikan oleh PMO Power"
</t>
  </si>
  <si>
    <t>KLB00532</t>
  </si>
  <si>
    <t>PRE-APPROVAL-KLAIM-GARANSI/PMO/IX/2026/0152</t>
  </si>
  <si>
    <t>SNMP Monitoring</t>
  </si>
  <si>
    <t>16-09-2026 00:31</t>
  </si>
  <si>
    <t>REQUEST_GARANSI</t>
  </si>
  <si>
    <t>KLB00332</t>
  </si>
  <si>
    <t>PRE-APPROVAL-KLAIM-GARANSI/PMO/IX/2026/0151</t>
  </si>
  <si>
    <t>16-09-2026 00:23</t>
  </si>
  <si>
    <t>KLB00112</t>
  </si>
  <si>
    <t>PRE-APPROVAL-KLAIM-GARANSI/PMO/IX/2026/0150</t>
  </si>
  <si>
    <t>16-09-2026 00:20</t>
  </si>
  <si>
    <t xml:space="preserve">Pre Approval Klaim Garansi - KSO: Evidance photo SNMP kondisi snmp dalam keadaan power OFF
</t>
  </si>
  <si>
    <t>PRE-APPROVAL-KLAIM-GARANSI/PMO/IX/2026/0149</t>
  </si>
  <si>
    <t>16-09-2026 00:18</t>
  </si>
  <si>
    <t>PRE-APPROVAL-KLAIM-GARANSI/PMO/IX/2026/0123</t>
  </si>
  <si>
    <t>11-09-2026 15:50</t>
  </si>
  <si>
    <t>KLB00684</t>
  </si>
  <si>
    <t>PRE-APPROVAL-KLAIM-GARANSI/PMO/IX/2026/0112</t>
  </si>
  <si>
    <t>08-09-2026 17:05</t>
  </si>
  <si>
    <t xml:space="preserve">Pre Approval Klaim Garansi - KSO: "Lampirkan evidance 
pengukuran voltage 
in &amp; out pada inveter "
</t>
  </si>
  <si>
    <t>KLT00061</t>
  </si>
  <si>
    <t>PRE-APPROVAL-KLAIM-GARANSI/PMO/IX/2026/0088</t>
  </si>
  <si>
    <t>SWITCH/ROUTER</t>
  </si>
  <si>
    <t>07-09-2026 17:28</t>
  </si>
  <si>
    <t>KLT00052</t>
  </si>
  <si>
    <t>PRE-APPROVAL-KLAIM-GARANSI/PMO/IX/2026/0087</t>
  </si>
  <si>
    <t>07-09-2026 16:01</t>
  </si>
  <si>
    <t xml:space="preserve">Pre Approval Klaim Garansi - KSO: Kerusakan fisik kemungkinan karena kelalaian aktifitas di site
</t>
  </si>
  <si>
    <t>KLT00067</t>
  </si>
  <si>
    <t>PRE-APPROVAL-KLAIM-GARANSI/PMO/IX/2026/0086</t>
  </si>
  <si>
    <t>07-09-2026 15:52</t>
  </si>
  <si>
    <t xml:space="preserve">Pre Approval Klaim Garansi - KSO: mengacu pada keterangan claim sebelumnya, Modem tidak dapat join karena isue Versi sofware modem. Issue ini antara MSS dan Kapsat. 
</t>
  </si>
  <si>
    <t>PRE-APPROVAL-KLAIM-GARANSI/PMO/VIII/2026/0174</t>
  </si>
  <si>
    <t>31-08-2026 15:40</t>
  </si>
  <si>
    <t>Pre Approval Klaim Garansi - MSS: Ditolak sesuai permintaan pada ticket TM2609071423.</t>
  </si>
  <si>
    <t>KLU00116</t>
  </si>
  <si>
    <t>PRE-APPROVAL-KLAIM-GARANSI/PMO/VIII/2026/0173</t>
  </si>
  <si>
    <t>31-08-2026 15:37</t>
  </si>
  <si>
    <t>PRE-APPROVAL-KLAIM-GARANSI/PMO/VIII/2026/0168</t>
  </si>
  <si>
    <t>28-08-2026 14:12</t>
  </si>
  <si>
    <t>PRE-APPROVAL-KLAIM-GARANSI/PMO/VIII/2026/0167</t>
  </si>
  <si>
    <t>28-08-2026 11:13</t>
  </si>
  <si>
    <t>PRE-APPROVAL-KLAIM-GARANSI/PMO/VIII/2026/0131</t>
  </si>
  <si>
    <t>27-08-2026 02:58</t>
  </si>
  <si>
    <t>PRE-APPROVAL-KLAIM-GARANSI/PMO/VIII/2026/0108</t>
  </si>
  <si>
    <t>26-08-2026 17:59</t>
  </si>
  <si>
    <t>PRE-APPROVAL-KLAIM-GARANSI/PMO/VIII/2026/0107</t>
  </si>
  <si>
    <t>26-08-2026 16:13</t>
  </si>
  <si>
    <t>Pre Approval Klaim Garansi - MSS: Ditolak sesuai permintaan pada tiket Operational Support TM2608281406.</t>
  </si>
  <si>
    <t>PRE-APPROVAL-KLAIM-GARANSI/PMO/VIII/2026/0106</t>
  </si>
  <si>
    <t>LNB</t>
  </si>
  <si>
    <t>26-08-2026 15:54</t>
  </si>
  <si>
    <t>PRE-APPROVAL-KLAIM-GARANSI/PMO/VIII/2026/0105</t>
  </si>
  <si>
    <t>26-08-2026 15:52</t>
  </si>
  <si>
    <t>Pre Approval Klaim Garansi - MSS: as per request from pmo</t>
  </si>
  <si>
    <t>KLB00545</t>
  </si>
  <si>
    <t>PRE-APPROVAL-KLAIM-GARANSI/PMO/VIII/2026/0104</t>
  </si>
  <si>
    <t>26-08-2026 13:54</t>
  </si>
  <si>
    <t>PRE-APPROVAL-KLAIM-GARANSI/PMO/VIII/2026/0103</t>
  </si>
  <si>
    <t>Tower GM</t>
  </si>
  <si>
    <t>OBL LAMP</t>
  </si>
  <si>
    <t>24-08-2026 16:44</t>
  </si>
  <si>
    <t>PRE-APPROVAL-KLAIM-GARANSI/PMO/VIII/2026/0102</t>
  </si>
  <si>
    <t>24-08-2026 16:19</t>
  </si>
  <si>
    <t xml:space="preserve">Pre Approval Klaim Garansi - KSO: Port TX rusaknya tidak jelas antara kerusakan pisik atau elektronik. Tidak ada photo konektor yang rusak. Perlu photo modem keseluruhan dan capture summary modem. 
</t>
  </si>
  <si>
    <t>KLT004</t>
  </si>
  <si>
    <t>PRE-APPROVAL-KLAIM-GARANSI/PMO/VIII/2026/0101</t>
  </si>
  <si>
    <t>24-08-2026 15:07</t>
  </si>
  <si>
    <t>PRE-APPROVAL-KLAIM-GARANSI/PMO/VIII/2026/0100</t>
  </si>
  <si>
    <t>ENCLOSURE POWER &amp; DISTRIBUTION BOARD</t>
  </si>
  <si>
    <t>23-08-2026 17:17</t>
  </si>
  <si>
    <t>PRE-APPROVAL-KLAIM-GARANSI/PMO/VIII/2026/0099</t>
  </si>
  <si>
    <t>23-08-2026 16:54</t>
  </si>
  <si>
    <t>PRE-APPROVAL-KLAIM-GARANSI/PMO/VIII/2026/0098</t>
  </si>
  <si>
    <t>23-08-2026 16:53</t>
  </si>
  <si>
    <t>PRE-APPROVAL-KLAIM-GARANSI/PMO/VIII/2026/0097</t>
  </si>
  <si>
    <t>23-08-2026 16:51</t>
  </si>
  <si>
    <t>PRE-APPROVAL-KLAIM-GARANSI/PMO/VIII/2026/0096</t>
  </si>
  <si>
    <t>23-08-2026 16:15</t>
  </si>
  <si>
    <t>KLB0050</t>
  </si>
  <si>
    <t>PRE-APPROVAL-KLAIM-GARANSI/PMO/VIII/2026/0095</t>
  </si>
  <si>
    <t>23-08-2026 15:17</t>
  </si>
  <si>
    <t>KLB00442</t>
  </si>
  <si>
    <t>PRE-APPROVAL-KLAIM-GARANSI/PMO/VI/2026/0109</t>
  </si>
  <si>
    <t>BTS</t>
  </si>
  <si>
    <t>RRU</t>
  </si>
  <si>
    <t>23-06-2026 14:16</t>
  </si>
  <si>
    <t>KLB00326</t>
  </si>
  <si>
    <t>PRE-APPROVAL-KLAIM-GARANSI/PMO/VI/2026/0107</t>
  </si>
  <si>
    <t>BBU</t>
  </si>
  <si>
    <t>23-06-2026 14:07</t>
  </si>
  <si>
    <t>KLB0054</t>
  </si>
  <si>
    <t>PRE-APPROVAL-KLAIM-GARANSI/PMO/VI/2026/0059</t>
  </si>
  <si>
    <t>22-06-2026 16:44</t>
  </si>
  <si>
    <t>KLB0021</t>
  </si>
  <si>
    <t>PRE-APPROVAL-KLAIM-GARANSI/PMO/VI/2026/0058</t>
  </si>
  <si>
    <t>Modem</t>
  </si>
  <si>
    <t>22-06-2026 16:14</t>
  </si>
  <si>
    <t>KLT00056</t>
  </si>
  <si>
    <t>PRE-APPROVAL-KLAIM-GARANSI/PMO/VI/2026/0057</t>
  </si>
  <si>
    <t>22-06-2026 15:47</t>
  </si>
  <si>
    <t>KLI00038</t>
  </si>
  <si>
    <t>PRE-APPROVAL-KLAIM-GARANSI/PMO/VI/2026/0056</t>
  </si>
  <si>
    <t>22-06-2026 15:21</t>
  </si>
  <si>
    <t>KLI00024</t>
  </si>
  <si>
    <t>PRE-APPROVAL-KLAIM-GARANSI/PMO/VI/2026/0055</t>
  </si>
  <si>
    <t>22-06-2026 15:14</t>
  </si>
  <si>
    <t>KLB00613</t>
  </si>
  <si>
    <t>PRE-APPROVAL-KLAIM-GARANSI/PMO/VI/2026/0054</t>
  </si>
  <si>
    <t>22-06-2026 15:00</t>
  </si>
  <si>
    <t>PRE-APPROVAL-KLAIM-GARANSI/PMO/VI/2026/0053</t>
  </si>
  <si>
    <t>22-06-2026 14:57</t>
  </si>
  <si>
    <t>KLT00035</t>
  </si>
  <si>
    <t>PRE-APPROVAL-KLAIM-GARANSI/PMO/VI/2026/0052</t>
  </si>
  <si>
    <t>21-06-2026 11:34</t>
  </si>
  <si>
    <t>KLB0084</t>
  </si>
  <si>
    <t>PRE-APPROVAL-KLAIM-GARANSI/PMO/VI/2026/0033</t>
  </si>
  <si>
    <t>17-06-2026 13:28</t>
  </si>
  <si>
    <t>PRE-APPROVAL-KLAIM-GARANSI/PMO/VI/2026/0004</t>
  </si>
  <si>
    <t>12-06-2026 14:06</t>
  </si>
  <si>
    <t>KLI00044</t>
  </si>
  <si>
    <t>PRE-APPROVAL-KLAIM-GARANSI/PMO/X/2026/0033</t>
  </si>
  <si>
    <t>SOLAR CHARGE CONTROLLER</t>
  </si>
  <si>
    <t>05-10-2026 14:27</t>
  </si>
  <si>
    <t>PRE-APPROVAL-KLAIM-GARANSI/PMO/X/2026/0032</t>
  </si>
  <si>
    <t>05-10-2026 14:21</t>
  </si>
  <si>
    <t>KLI00043</t>
  </si>
  <si>
    <t>PRE-APPROVAL-KLAIM-GARANSI/PMO/X/2026/0031</t>
  </si>
  <si>
    <t>05-10-2026 14:20</t>
  </si>
  <si>
    <t>PRE-APPROVAL-KLAIM-GARANSI/PMO/X/2026/0030</t>
  </si>
  <si>
    <t>05-10-2026 14:16</t>
  </si>
  <si>
    <t>KLI00039</t>
  </si>
  <si>
    <t>PRE-APPROVAL-KLAIM-GARANSI/PMO/X/2026/0029</t>
  </si>
  <si>
    <t>YARD LAMP</t>
  </si>
  <si>
    <t>05-10-2026 14:15</t>
  </si>
  <si>
    <t>PRE-APPROVAL-KLAIM-GARANSI/PMO/X/2026/0028</t>
  </si>
  <si>
    <t>05-10-2026 14:10</t>
  </si>
  <si>
    <t>KLT0023</t>
  </si>
  <si>
    <t>PRE-APPROVAL-KLAIM-GARANSI/PMO/X/2026/0027</t>
  </si>
  <si>
    <t>05-10-2026 14:07</t>
  </si>
  <si>
    <t>PRE-APPROVAL-KLAIM-GARANSI/PMO/X/2026/0025</t>
  </si>
  <si>
    <t>05-10-2026 14:02</t>
  </si>
  <si>
    <t>KLT006</t>
  </si>
  <si>
    <t>PRE-APPROVAL-KLAIM-GARANSI/PMO/X/2026/0024</t>
  </si>
  <si>
    <t>05-10-2026 13:58</t>
  </si>
  <si>
    <t>PRE-APPROVAL-KLAIM-GARANSI/PMO/X/2026/0021</t>
  </si>
  <si>
    <t>05-10-2026 13:47</t>
  </si>
  <si>
    <t>KLT005</t>
  </si>
  <si>
    <t>KLT00030</t>
  </si>
  <si>
    <t>KLB00461</t>
  </si>
  <si>
    <t>KLT00060</t>
  </si>
  <si>
    <t>KLT00059</t>
  </si>
  <si>
    <t>KLT00036</t>
  </si>
  <si>
    <t>KLB00465</t>
  </si>
  <si>
    <t>KLI00059</t>
  </si>
  <si>
    <t>KLB00166</t>
  </si>
  <si>
    <t>KLT0025</t>
  </si>
  <si>
    <t>Approved</t>
  </si>
  <si>
    <t>REJECTED</t>
  </si>
  <si>
    <t>Rejected</t>
  </si>
  <si>
    <t>PRE-APPROVAL-KLAIM-GARANSI/PMO/X/2026/0146</t>
  </si>
  <si>
    <t>14-10-2026 09:41</t>
  </si>
  <si>
    <t>PRE-APPROVAL-KLAIM-GARANSI/PMO/X/2026/0144</t>
  </si>
  <si>
    <t>SITE NAME PLATE</t>
  </si>
  <si>
    <t>13-10-2026 16:38</t>
  </si>
  <si>
    <t>PRE-APPROVAL-KLAIM-GARANSI/PMO/X/2026/0128</t>
  </si>
  <si>
    <t>13-10-2026 09:52</t>
  </si>
  <si>
    <t>PRE-APPROVAL-KLAIM-GARANSI/PMO/X/2026/0127</t>
  </si>
  <si>
    <t>13-10-2026 09:49</t>
  </si>
  <si>
    <t>PRE-APPROVAL-KLAIM-GARANSI/PMO/X/2026/0055</t>
  </si>
  <si>
    <t>05-10-2026 16:40</t>
  </si>
  <si>
    <t>PRE-APPROVAL-KLAIM-GARANSI/PMO/X/2026/0054</t>
  </si>
  <si>
    <t>05-10-2026 16:27</t>
  </si>
  <si>
    <t xml:space="preserve">Pre Approval Klaim Garansi - MSS: Dibatalkan atas permintaan user. Tiket TM2610131543
</t>
  </si>
  <si>
    <t>PRE-APPROVAL-KLAIM-GARANSI/PMO/X/2026/0053</t>
  </si>
  <si>
    <t>05-10-2026 16:24</t>
  </si>
  <si>
    <t xml:space="preserve">Pre Approval Klaim Garansi - MSS: Dibatalkan atas permintaan user. Tiket TM2610131542
</t>
  </si>
  <si>
    <t>PRE-APPROVAL-KLAIM-GARANSI/PMO/X/2026/0051</t>
  </si>
  <si>
    <t>05-10-2026 16:22</t>
  </si>
  <si>
    <t>PRE-APPROVAL-KLAIM-GARANSI/PMO/X/2026/0050</t>
  </si>
  <si>
    <t>05-10-2026 16:19</t>
  </si>
  <si>
    <t>KSO Pending</t>
  </si>
  <si>
    <t>PRE-APPROVAL-KLAIM-GARANSI/PMO/X/2026/0049</t>
  </si>
  <si>
    <t>05-10-2026 16:12</t>
  </si>
  <si>
    <t>PRE-APPROVAL-KLAIM-GARANSI/PMO/X/2026/0047</t>
  </si>
  <si>
    <t>05-10-2026 16:01</t>
  </si>
  <si>
    <t>CANCELED</t>
  </si>
  <si>
    <t>Canceled</t>
  </si>
  <si>
    <t xml:space="preserve">Pre Approval Klaim Garansi - KSO: Tidak ada evidence battery
</t>
  </si>
  <si>
    <t>Pre Approval Klaim Garansi - MSS: Dibatalkan atas permintaan user. Tiket TM2610131540</t>
  </si>
  <si>
    <t>PRE-APPROVAL-KLAIM-GARANSI/PMO/X/2026/0045</t>
  </si>
  <si>
    <t>05-10-2026 15:57</t>
  </si>
  <si>
    <t>PRE-APPROVAL-KLAIM-GARANSI/PMO/X/2026/0044</t>
  </si>
  <si>
    <t>05-10-2026 15:52</t>
  </si>
  <si>
    <t>PRE-APPROVAL-KLAIM-GARANSI/PMO/X/2026/0043</t>
  </si>
  <si>
    <t>05-10-2026 15:37</t>
  </si>
  <si>
    <t>PRE-APPROVAL-KLAIM-GARANSI/PMO/X/2026/0042</t>
  </si>
  <si>
    <t>05-10-2026 14:59</t>
  </si>
  <si>
    <t>PRE-APPROVAL-KLAIM-GARANSI/PMO/X/2026/0041</t>
  </si>
  <si>
    <t>05-10-2026 14:50</t>
  </si>
  <si>
    <t>PRE-APPROVAL-KLAIM-GARANSI/PMO/X/2026/0040</t>
  </si>
  <si>
    <t>05-10-2026 14:47</t>
  </si>
  <si>
    <t>PRE-APPROVAL-KLAIM-GARANSI/PMO/X/2026/0039</t>
  </si>
  <si>
    <t>05-10-2026 14:38</t>
  </si>
  <si>
    <t>Pre Approval Klaim Garansi - MSS: Dibatalkan atas permintaan user. Tiket TM2610121536</t>
  </si>
  <si>
    <t>PRE-APPROVAL-KLAIM-GARANSI/PMO/X/2026/0034</t>
  </si>
  <si>
    <t>05-10-2026 14:30</t>
  </si>
  <si>
    <t>PRE-APPROVAL-KLAIM-GARANSI/PMO/X/2026/0035</t>
  </si>
  <si>
    <t>05-10-2026 14:32</t>
  </si>
  <si>
    <t>MSS Pending Form</t>
  </si>
  <si>
    <t>PERBAIKAN_ASSET</t>
  </si>
  <si>
    <t>Request Garansi - PMO: Dibatalkan atas permintaan user. Tiket TM2610121536</t>
  </si>
  <si>
    <t>Request Garansi - MSS: Dibatalkan atas permintaan user. Tiket TM2610121536</t>
  </si>
  <si>
    <t xml:space="preserve">Request Garansi - PMO: Dibatalkan atas permintaan user. Tiket TM2610131544
</t>
  </si>
  <si>
    <t>Request Garansi - MSS: Dibatalkan atas permintaan user. Tiket TM2610131544</t>
  </si>
  <si>
    <t xml:space="preserve">Pre Approval Klaim Garansi - MSS: Dibatalkan atas permintaan user. Tiket TM2610131541
</t>
  </si>
  <si>
    <t xml:space="preserve">Pre Approval Klaim Garansi - KSO: Poto display sesuaikan dengan posisi SCC yg di ukur, pengkuruan SCC 1, Display SCC2 
</t>
  </si>
  <si>
    <t>Site Id</t>
  </si>
  <si>
    <t>Sitename</t>
  </si>
  <si>
    <t>Provinsi</t>
  </si>
  <si>
    <t>Kota/Kab</t>
  </si>
  <si>
    <t>Date Pengiriman MSS</t>
  </si>
  <si>
    <t>Status Pengiriman MSS</t>
  </si>
  <si>
    <t>Date Pengiriman KSO</t>
  </si>
  <si>
    <t>ID Site</t>
  </si>
  <si>
    <t>ID Site Opsel</t>
  </si>
  <si>
    <t>Nama Site</t>
  </si>
  <si>
    <t>Penyedia MSS</t>
  </si>
  <si>
    <t>Paket MSS</t>
  </si>
  <si>
    <t>Kab/Kota</t>
  </si>
  <si>
    <t>Kecamatan</t>
  </si>
  <si>
    <t>Desa</t>
  </si>
  <si>
    <t>KLB00337</t>
  </si>
  <si>
    <t>ZZJ746</t>
  </si>
  <si>
    <t>TAJUM</t>
  </si>
  <si>
    <t>PT ALITA PRAYA MITRA</t>
  </si>
  <si>
    <t>KALIMANTAN BARAT</t>
  </si>
  <si>
    <t>KAPUAS HULU</t>
  </si>
  <si>
    <t>BADAU</t>
  </si>
  <si>
    <t>KLU0072</t>
  </si>
  <si>
    <t>ZZJ475</t>
  </si>
  <si>
    <t>LONG BUDUNG</t>
  </si>
  <si>
    <t>KALIMANTAN UTARA</t>
  </si>
  <si>
    <t>NUNUKAN</t>
  </si>
  <si>
    <t>KRAYAN SELATAN</t>
  </si>
  <si>
    <t>KLB00550</t>
  </si>
  <si>
    <t>ZZJ066</t>
  </si>
  <si>
    <t>KELUAS HULU</t>
  </si>
  <si>
    <t>MELAWI</t>
  </si>
  <si>
    <t>TANAH PINOH BARAT</t>
  </si>
  <si>
    <t>KLB00221</t>
  </si>
  <si>
    <t>ZZJ391</t>
  </si>
  <si>
    <t>TANJUNG MIRU</t>
  </si>
  <si>
    <t>SINTANG</t>
  </si>
  <si>
    <t>KAYAN HULU</t>
  </si>
  <si>
    <t>KLU00234</t>
  </si>
  <si>
    <t>ZZJ650</t>
  </si>
  <si>
    <t>LONG AMPUNG</t>
  </si>
  <si>
    <t>MALINAU</t>
  </si>
  <si>
    <t>KAYAN SELATAN</t>
  </si>
  <si>
    <t>KLI00032</t>
  </si>
  <si>
    <t>ZZJ630</t>
  </si>
  <si>
    <t>MEMAHAK TEBOQ</t>
  </si>
  <si>
    <t>KALIMANTAN TIMUR</t>
  </si>
  <si>
    <t>MAHAKAM ULU</t>
  </si>
  <si>
    <t>LONG HUBUNG</t>
  </si>
  <si>
    <t>KLT00062</t>
  </si>
  <si>
    <t>ZZJ550</t>
  </si>
  <si>
    <t>RANTAU SUANG</t>
  </si>
  <si>
    <t>KALIMANTAN TENGAH</t>
  </si>
  <si>
    <t>KOTAWARINGIN TIMUR</t>
  </si>
  <si>
    <t>TELAGA ANTANG</t>
  </si>
  <si>
    <t>KLB00681</t>
  </si>
  <si>
    <t>ZZJ353</t>
  </si>
  <si>
    <t>NANGA PAHANGAN</t>
  </si>
  <si>
    <t>AMBALAU</t>
  </si>
  <si>
    <t>KLU00258</t>
  </si>
  <si>
    <t>ZZJ458</t>
  </si>
  <si>
    <t>LONG LEJUH</t>
  </si>
  <si>
    <t>BULUNGAN</t>
  </si>
  <si>
    <t>PESO</t>
  </si>
  <si>
    <t>KLI00053</t>
  </si>
  <si>
    <t>ZZJ428</t>
  </si>
  <si>
    <t>LEMPER</t>
  </si>
  <si>
    <t>KUTAI BARAT</t>
  </si>
  <si>
    <t>BONGAN</t>
  </si>
  <si>
    <t>KLB00623</t>
  </si>
  <si>
    <t>ZZJ356</t>
  </si>
  <si>
    <t>TERTUNG</t>
  </si>
  <si>
    <t>ZZJ569</t>
  </si>
  <si>
    <t>SEI NANJAN</t>
  </si>
  <si>
    <t>KATINGAN</t>
  </si>
  <si>
    <t>KATINGAN HULU</t>
  </si>
  <si>
    <t>ZZJ415</t>
  </si>
  <si>
    <t>TUMBANG BAI</t>
  </si>
  <si>
    <t>SERUYAN</t>
  </si>
  <si>
    <t>SERUYAN TENGAH</t>
  </si>
  <si>
    <t>KLU00207</t>
  </si>
  <si>
    <t>ZZJ525</t>
  </si>
  <si>
    <t>PA'TERA</t>
  </si>
  <si>
    <t>KLT00050</t>
  </si>
  <si>
    <t>ZZJ537</t>
  </si>
  <si>
    <t>BATU BADAK</t>
  </si>
  <si>
    <t>PETAK MALAI</t>
  </si>
  <si>
    <t>ZZJ522</t>
  </si>
  <si>
    <t>TADO'AN</t>
  </si>
  <si>
    <t>KUTAI TIMUR</t>
  </si>
  <si>
    <t>SANDARAN</t>
  </si>
  <si>
    <t>KLU00143</t>
  </si>
  <si>
    <t>ZZJ492</t>
  </si>
  <si>
    <t>PA' KEBUAN</t>
  </si>
  <si>
    <t>KRAYAN TIMUR</t>
  </si>
  <si>
    <t>KLT00037</t>
  </si>
  <si>
    <t>ZZJ562</t>
  </si>
  <si>
    <t>TUMBANG TANGOI</t>
  </si>
  <si>
    <t>ZZJ400</t>
  </si>
  <si>
    <t>DERAWA</t>
  </si>
  <si>
    <t>BATU AMPAR</t>
  </si>
  <si>
    <t>KLU0044</t>
  </si>
  <si>
    <t>ZZJ467</t>
  </si>
  <si>
    <t>BUDUK TUMU</t>
  </si>
  <si>
    <t>KRAYAN</t>
  </si>
  <si>
    <t>KLB00721</t>
  </si>
  <si>
    <t>ZZJ779</t>
  </si>
  <si>
    <t>SEMANGA II</t>
  </si>
  <si>
    <t>SAMBAS</t>
  </si>
  <si>
    <t>SEJANGKUNG</t>
  </si>
  <si>
    <t>ZZJ506</t>
  </si>
  <si>
    <t>KLI00051</t>
  </si>
  <si>
    <t>ZZJ430</t>
  </si>
  <si>
    <t>LONG SULUI</t>
  </si>
  <si>
    <t>BERAU</t>
  </si>
  <si>
    <t>KELAY</t>
  </si>
  <si>
    <t>KLU00270</t>
  </si>
  <si>
    <t>ZZJ651</t>
  </si>
  <si>
    <t>PA'BUTAL</t>
  </si>
  <si>
    <t>KRAYAN BARAT</t>
  </si>
  <si>
    <t>KLT00068</t>
  </si>
  <si>
    <t>ZZJ551</t>
  </si>
  <si>
    <t>RIAM TINGGI</t>
  </si>
  <si>
    <t>LAMANDAU</t>
  </si>
  <si>
    <t>DELANG</t>
  </si>
  <si>
    <t>KLT00039</t>
  </si>
  <si>
    <t>ZZJ510</t>
  </si>
  <si>
    <t>BATU TUKAN</t>
  </si>
  <si>
    <t>KLB00722</t>
  </si>
  <si>
    <t>ZZJ780</t>
  </si>
  <si>
    <t>SEPANTAI</t>
  </si>
  <si>
    <t>KLI00023</t>
  </si>
  <si>
    <t>ZZJ642</t>
  </si>
  <si>
    <t>MATALIBAQ</t>
  </si>
  <si>
    <t>KLT00069</t>
  </si>
  <si>
    <t>ZZJ449</t>
  </si>
  <si>
    <t>NYALANG</t>
  </si>
  <si>
    <t>KLI00046</t>
  </si>
  <si>
    <t>ZZJ639</t>
  </si>
  <si>
    <t>LONG HURAI</t>
  </si>
  <si>
    <t>LONG BAGUN</t>
  </si>
  <si>
    <t>KLB00414</t>
  </si>
  <si>
    <t>ZZJ002</t>
  </si>
  <si>
    <t>SUNGAI KELI</t>
  </si>
  <si>
    <t>LANDAK</t>
  </si>
  <si>
    <t>NGABANG</t>
  </si>
  <si>
    <t>KLU00266</t>
  </si>
  <si>
    <t>ZZJ466</t>
  </si>
  <si>
    <t>LONG PELAAH</t>
  </si>
  <si>
    <t>KLI00034</t>
  </si>
  <si>
    <t>ZZJ509</t>
  </si>
  <si>
    <t>KENDESIQ</t>
  </si>
  <si>
    <t>SILUQ NGURAI</t>
  </si>
  <si>
    <t>ZZJ554</t>
  </si>
  <si>
    <t>RANTAU PUKA</t>
  </si>
  <si>
    <t>KLT00043</t>
  </si>
  <si>
    <t>ZZJ526</t>
  </si>
  <si>
    <t>TUMBANG KABURAI</t>
  </si>
  <si>
    <t>BUKIT RAYA</t>
  </si>
  <si>
    <t>KLU0046</t>
  </si>
  <si>
    <t>ZZJ514</t>
  </si>
  <si>
    <t>PA' API</t>
  </si>
  <si>
    <t>KLT00064</t>
  </si>
  <si>
    <t>ZZJ491</t>
  </si>
  <si>
    <t>KAHINGAI</t>
  </si>
  <si>
    <t>BELANTIKAN RAYA</t>
  </si>
  <si>
    <t>KLB00233</t>
  </si>
  <si>
    <t>ZZJ344</t>
  </si>
  <si>
    <t>KARYA JAYA</t>
  </si>
  <si>
    <t>SERAWAI</t>
  </si>
  <si>
    <t>KLT00046</t>
  </si>
  <si>
    <t>ZZJ498</t>
  </si>
  <si>
    <t>TUMBANG HABANGOI</t>
  </si>
  <si>
    <t>KLB00637</t>
  </si>
  <si>
    <t>ZZJ751</t>
  </si>
  <si>
    <t>SENTABAI</t>
  </si>
  <si>
    <t>SILAT HILIR</t>
  </si>
  <si>
    <t>KLI00052</t>
  </si>
  <si>
    <t>ZZJ473</t>
  </si>
  <si>
    <t>PUNAN SEGAH</t>
  </si>
  <si>
    <t>SEGAH</t>
  </si>
  <si>
    <t>KLU00140</t>
  </si>
  <si>
    <t>ZZJ489</t>
  </si>
  <si>
    <t>LONG SEPAYANG</t>
  </si>
  <si>
    <t>KLB00699</t>
  </si>
  <si>
    <t>ZZJ667</t>
  </si>
  <si>
    <t>GUDANG HILIR</t>
  </si>
  <si>
    <t>SELIMBAU</t>
  </si>
  <si>
    <t>KLT00051</t>
  </si>
  <si>
    <t>ZZJ563</t>
  </si>
  <si>
    <t>KIHAM BATANG</t>
  </si>
  <si>
    <t>KLB00716</t>
  </si>
  <si>
    <t>ZZJ770</t>
  </si>
  <si>
    <t>NANGA LOT</t>
  </si>
  <si>
    <t>SEBERUANG</t>
  </si>
  <si>
    <t>ZZJ416</t>
  </si>
  <si>
    <t>DURIAN TUNGGAL</t>
  </si>
  <si>
    <t>KLU00259</t>
  </si>
  <si>
    <t>ZZJ457</t>
  </si>
  <si>
    <t>LONG PELBAN</t>
  </si>
  <si>
    <t>KLB00624</t>
  </si>
  <si>
    <t>ZZJ357</t>
  </si>
  <si>
    <t>SEJAWAK</t>
  </si>
  <si>
    <t>KETUNGAU HULU</t>
  </si>
  <si>
    <t>ZZJ042</t>
  </si>
  <si>
    <t>RIAM BATU</t>
  </si>
  <si>
    <t>TEMPUNAK</t>
  </si>
  <si>
    <t>KLI0018</t>
  </si>
  <si>
    <t>ZZJ634</t>
  </si>
  <si>
    <t>DATAH NAHA</t>
  </si>
  <si>
    <t>LONG PAHANGAI</t>
  </si>
  <si>
    <t>ZZJ059</t>
  </si>
  <si>
    <t>LANDAU GARONG</t>
  </si>
  <si>
    <t>PINOH SELATAN</t>
  </si>
  <si>
    <t>KLB0090</t>
  </si>
  <si>
    <t>ZZJ264</t>
  </si>
  <si>
    <t>MEKAR RAYA</t>
  </si>
  <si>
    <t>KETAPANG</t>
  </si>
  <si>
    <t>SIMPANG DUA</t>
  </si>
  <si>
    <t>KLB00519</t>
  </si>
  <si>
    <t>ZZJ196</t>
  </si>
  <si>
    <t>TANJUNG MAHUNG</t>
  </si>
  <si>
    <t>SOKAN</t>
  </si>
  <si>
    <t>KLB00317</t>
  </si>
  <si>
    <t>ZZJ735</t>
  </si>
  <si>
    <t>NANGA SEBERUANG</t>
  </si>
  <si>
    <t>SEMITAU</t>
  </si>
  <si>
    <t>KLI008</t>
  </si>
  <si>
    <t>ZZJ645</t>
  </si>
  <si>
    <t>LONG PENANEH I</t>
  </si>
  <si>
    <t>LONG APARI</t>
  </si>
  <si>
    <t>KLU0064</t>
  </si>
  <si>
    <t>ZZJ523</t>
  </si>
  <si>
    <t>LONG PASIA</t>
  </si>
  <si>
    <t>KLT00047</t>
  </si>
  <si>
    <t>ZZJ500</t>
  </si>
  <si>
    <t>TUMBANG KUAI</t>
  </si>
  <si>
    <t>KLB00428</t>
  </si>
  <si>
    <t>ZZJ017</t>
  </si>
  <si>
    <t>LINTAH BETUNG</t>
  </si>
  <si>
    <t>MENYUKE</t>
  </si>
  <si>
    <t>KLB00305</t>
  </si>
  <si>
    <t>ZZJ672</t>
  </si>
  <si>
    <t>KARYA MANDIRI</t>
  </si>
  <si>
    <t>HULU GURUNG</t>
  </si>
  <si>
    <t>KLB00625</t>
  </si>
  <si>
    <t>ZZJ358</t>
  </si>
  <si>
    <t>MERPAK</t>
  </si>
  <si>
    <t>KELAM PERMAI</t>
  </si>
  <si>
    <t>KLI00041</t>
  </si>
  <si>
    <t>ZZJ488</t>
  </si>
  <si>
    <t>LONG LAAI</t>
  </si>
  <si>
    <t>KLB00378</t>
  </si>
  <si>
    <t>ZZJ700</t>
  </si>
  <si>
    <t>KEPALA GURUNG</t>
  </si>
  <si>
    <t>MENTEBAH</t>
  </si>
  <si>
    <t>ZZJ742</t>
  </si>
  <si>
    <t>TINTIN PENINJAU</t>
  </si>
  <si>
    <t>EMPANANG</t>
  </si>
  <si>
    <t>KLU00101</t>
  </si>
  <si>
    <t>ZZJ429</t>
  </si>
  <si>
    <t>KALAMBUKU</t>
  </si>
  <si>
    <t>LUMBIS OGONG</t>
  </si>
  <si>
    <t>KLB00701</t>
  </si>
  <si>
    <t>ZZJ684</t>
  </si>
  <si>
    <t>KEKURAK</t>
  </si>
  <si>
    <t>ZZJ181</t>
  </si>
  <si>
    <t>SEMANDANG HULU</t>
  </si>
  <si>
    <t>SIMPANG HULU</t>
  </si>
  <si>
    <t>KLU0015</t>
  </si>
  <si>
    <t>ZZJ548</t>
  </si>
  <si>
    <t>PODONG</t>
  </si>
  <si>
    <t>LUMBIS</t>
  </si>
  <si>
    <t>KLB0055</t>
  </si>
  <si>
    <t>ZZJ214</t>
  </si>
  <si>
    <t>KENANGA</t>
  </si>
  <si>
    <t>ZZJ595</t>
  </si>
  <si>
    <t>BATU TIGA</t>
  </si>
  <si>
    <t>BUNUT HULU</t>
  </si>
  <si>
    <t>KLB00459</t>
  </si>
  <si>
    <t>ZZJ160</t>
  </si>
  <si>
    <t>KAHIYA</t>
  </si>
  <si>
    <t>ELLA HILIR</t>
  </si>
  <si>
    <t>KLB00508</t>
  </si>
  <si>
    <t>ZZJ188</t>
  </si>
  <si>
    <t>GELATA</t>
  </si>
  <si>
    <t>KLU0084</t>
  </si>
  <si>
    <t>ZZJ579</t>
  </si>
  <si>
    <t>PAYANG</t>
  </si>
  <si>
    <t>KLU0065</t>
  </si>
  <si>
    <t>ZZJ474</t>
  </si>
  <si>
    <t>LIANG LUNUK</t>
  </si>
  <si>
    <t>KLB0058</t>
  </si>
  <si>
    <t>ZZJ222</t>
  </si>
  <si>
    <t>LABAI HILIR</t>
  </si>
  <si>
    <t>ZZJ603</t>
  </si>
  <si>
    <t>PEREMBANG NYURUH</t>
  </si>
  <si>
    <t>KLB00551</t>
  </si>
  <si>
    <t>ZZJ215</t>
  </si>
  <si>
    <t>GANJANG</t>
  </si>
  <si>
    <t>KLB00370</t>
  </si>
  <si>
    <t>ZZJ695</t>
  </si>
  <si>
    <t>NANGA SANGAN</t>
  </si>
  <si>
    <t>BOYAN TANJUNG</t>
  </si>
  <si>
    <t>ZZJ241</t>
  </si>
  <si>
    <t>PELAPIS</t>
  </si>
  <si>
    <t>KAYONG UTARA</t>
  </si>
  <si>
    <t>KEPULAUAN KARIMATA</t>
  </si>
  <si>
    <t>KLT0026</t>
  </si>
  <si>
    <t>ZZJ410</t>
  </si>
  <si>
    <t>RANGKANG MUNDUK</t>
  </si>
  <si>
    <t>SULING TAMBUN</t>
  </si>
  <si>
    <t>ZZJ023</t>
  </si>
  <si>
    <t>NYANGGAI</t>
  </si>
  <si>
    <t>ZZJ025</t>
  </si>
  <si>
    <t>TAPAKNG</t>
  </si>
  <si>
    <t>SOMPAK</t>
  </si>
  <si>
    <t>KLB00543</t>
  </si>
  <si>
    <t>ZZJ061</t>
  </si>
  <si>
    <t>HARAPAN JAYA</t>
  </si>
  <si>
    <t>KLB00154</t>
  </si>
  <si>
    <t>ZZJ369</t>
  </si>
  <si>
    <t>SUNGAI AREH</t>
  </si>
  <si>
    <t>KETUNGAU TENGAH</t>
  </si>
  <si>
    <t>KLB00172</t>
  </si>
  <si>
    <t>ZZJ376</t>
  </si>
  <si>
    <t>UJUNG KEMPAS</t>
  </si>
  <si>
    <t>ZZJ739</t>
  </si>
  <si>
    <t>TANJUNG KELILING</t>
  </si>
  <si>
    <t>KLB00514</t>
  </si>
  <si>
    <t>ZZJ058</t>
  </si>
  <si>
    <t>PENYENGKUANG</t>
  </si>
  <si>
    <t>KLB00161</t>
  </si>
  <si>
    <t>ZZJ280</t>
  </si>
  <si>
    <t>EMPURA</t>
  </si>
  <si>
    <t>KLB00403</t>
  </si>
  <si>
    <t>ZZJ001</t>
  </si>
  <si>
    <t>NANGKA</t>
  </si>
  <si>
    <t>BENGKAYANG</t>
  </si>
  <si>
    <t>SUTI SEMARANG</t>
  </si>
  <si>
    <t>KLB00422</t>
  </si>
  <si>
    <t>ZZJ140</t>
  </si>
  <si>
    <t>ENGKADIK PADE</t>
  </si>
  <si>
    <t>AIR BESAR</t>
  </si>
  <si>
    <t>KLB00215</t>
  </si>
  <si>
    <t>ZZJ388</t>
  </si>
  <si>
    <t>RIAM MUNTIK</t>
  </si>
  <si>
    <t>ZZJ375</t>
  </si>
  <si>
    <t>SEBULUH</t>
  </si>
  <si>
    <t>ZZJ511</t>
  </si>
  <si>
    <t>TUMBANG MANGARA</t>
  </si>
  <si>
    <t>SANAMAN MANTIKEI</t>
  </si>
  <si>
    <t>KLT0011</t>
  </si>
  <si>
    <t>ZZJ401</t>
  </si>
  <si>
    <t>TANJUNG PAKU</t>
  </si>
  <si>
    <t>SERUYAN HULU</t>
  </si>
  <si>
    <t>KLB0032</t>
  </si>
  <si>
    <t>ZZJ114</t>
  </si>
  <si>
    <t>ALAM PAKUAN</t>
  </si>
  <si>
    <t>SANDAI</t>
  </si>
  <si>
    <t>KLB00506</t>
  </si>
  <si>
    <t>ZZJ054</t>
  </si>
  <si>
    <t>KELUING TAJA</t>
  </si>
  <si>
    <t>KLB0087</t>
  </si>
  <si>
    <t>ZZJ262</t>
  </si>
  <si>
    <t>BATU LAPIS</t>
  </si>
  <si>
    <t>HULU SUNGAI</t>
  </si>
  <si>
    <t>KLT00049</t>
  </si>
  <si>
    <t>ZZJ557</t>
  </si>
  <si>
    <t>RANGAN KAWIT</t>
  </si>
  <si>
    <t>KLI007</t>
  </si>
  <si>
    <t>ZZJ644</t>
  </si>
  <si>
    <t>DANUM PAROY</t>
  </si>
  <si>
    <t>LAHAM</t>
  </si>
  <si>
    <t>KLB00698</t>
  </si>
  <si>
    <t>ZZJ750</t>
  </si>
  <si>
    <t>SELANGKAI</t>
  </si>
  <si>
    <t>SILAT HULU</t>
  </si>
  <si>
    <t>KLB00700</t>
  </si>
  <si>
    <t>ZZJ747</t>
  </si>
  <si>
    <t>BAJAU ANDAI</t>
  </si>
  <si>
    <t>KLB0051</t>
  </si>
  <si>
    <t>ZZJ189</t>
  </si>
  <si>
    <t>MERAWA</t>
  </si>
  <si>
    <t>KLB00170</t>
  </si>
  <si>
    <t>ZZJ374</t>
  </si>
  <si>
    <t>SUNGAI PISAU</t>
  </si>
  <si>
    <t>KLB00474</t>
  </si>
  <si>
    <t>ZZJ615</t>
  </si>
  <si>
    <t>BATU ONAP</t>
  </si>
  <si>
    <t>MENUKUNG</t>
  </si>
  <si>
    <t>KLB00434</t>
  </si>
  <si>
    <t>ZZJ018</t>
  </si>
  <si>
    <t>AMPADI</t>
  </si>
  <si>
    <t>MERANTI</t>
  </si>
  <si>
    <t>KLB00582</t>
  </si>
  <si>
    <t>ZZJ225</t>
  </si>
  <si>
    <t>PANGKALAN BATU</t>
  </si>
  <si>
    <t>KENDAWANGAN</t>
  </si>
  <si>
    <t>KLB0056</t>
  </si>
  <si>
    <t>ZZJ217</t>
  </si>
  <si>
    <t>BALAI PINANG HULU</t>
  </si>
  <si>
    <t>KLB00513</t>
  </si>
  <si>
    <t>ZZJ057</t>
  </si>
  <si>
    <t>NANGA TANGKIT</t>
  </si>
  <si>
    <t>KLB00391</t>
  </si>
  <si>
    <t>ZZJ709</t>
  </si>
  <si>
    <t>MERAKAI PANJANG</t>
  </si>
  <si>
    <t>PURING KENCANA</t>
  </si>
  <si>
    <t>KLB0093</t>
  </si>
  <si>
    <t>ZZJ013</t>
  </si>
  <si>
    <t>KAMORA</t>
  </si>
  <si>
    <t>KLB00169</t>
  </si>
  <si>
    <t>ZZJ282</t>
  </si>
  <si>
    <t>BEKUAN LUYANG</t>
  </si>
  <si>
    <t>KLB00150</t>
  </si>
  <si>
    <t>ZZJ303</t>
  </si>
  <si>
    <t>MARGAHAYU</t>
  </si>
  <si>
    <t>KLB0031</t>
  </si>
  <si>
    <t>ZZJ031</t>
  </si>
  <si>
    <t>MERIMBANG JAYA</t>
  </si>
  <si>
    <t>KLB0023</t>
  </si>
  <si>
    <t>ZZJ106</t>
  </si>
  <si>
    <t>SERIAM</t>
  </si>
  <si>
    <t>KLT008</t>
  </si>
  <si>
    <t>ZZJ418</t>
  </si>
  <si>
    <t>PARING RAYA</t>
  </si>
  <si>
    <t>HANAU</t>
  </si>
  <si>
    <t>KLB00541</t>
  </si>
  <si>
    <t>ZZJ210</t>
  </si>
  <si>
    <t>KAYU BUNGA</t>
  </si>
  <si>
    <t>BELIMBING HULU</t>
  </si>
  <si>
    <t>KLB00237</t>
  </si>
  <si>
    <t>ZZJ394</t>
  </si>
  <si>
    <t>SAWANG SENGIANG</t>
  </si>
  <si>
    <t>ZZJ133</t>
  </si>
  <si>
    <t>TANJUNG MAJU</t>
  </si>
  <si>
    <t>SUNGAI LAUR</t>
  </si>
  <si>
    <t>KLB0061</t>
  </si>
  <si>
    <t>ZZJ034</t>
  </si>
  <si>
    <t>SEBADAK RAYA</t>
  </si>
  <si>
    <t>NANGA TAYAP</t>
  </si>
  <si>
    <t>KLB00126</t>
  </si>
  <si>
    <t>ZZJ044</t>
  </si>
  <si>
    <t>TEMAWANG BULAI</t>
  </si>
  <si>
    <t>SEPAUK</t>
  </si>
  <si>
    <t>KLU002</t>
  </si>
  <si>
    <t>ZZJ648</t>
  </si>
  <si>
    <t>LONG TEMUYAT</t>
  </si>
  <si>
    <t>KLB00433</t>
  </si>
  <si>
    <t>ZZJ047</t>
  </si>
  <si>
    <t>MORO BETUNG</t>
  </si>
  <si>
    <t>KLB00615</t>
  </si>
  <si>
    <t>ZZJ006</t>
  </si>
  <si>
    <t>TEBUAH ELOK</t>
  </si>
  <si>
    <t>SUBAH</t>
  </si>
  <si>
    <t>KLB00599</t>
  </si>
  <si>
    <t>ZZJ077</t>
  </si>
  <si>
    <t>SAHAM</t>
  </si>
  <si>
    <t>SENGAH TEMILA</t>
  </si>
  <si>
    <t>KLB00490</t>
  </si>
  <si>
    <t>ZZJ053</t>
  </si>
  <si>
    <t>NANGA PAK</t>
  </si>
  <si>
    <t>SAYAN</t>
  </si>
  <si>
    <t>KLI0015</t>
  </si>
  <si>
    <t>ZZJ631</t>
  </si>
  <si>
    <t>DELANG KEROHONG</t>
  </si>
  <si>
    <t>KLB00242</t>
  </si>
  <si>
    <t>ZZJ350</t>
  </si>
  <si>
    <t>NANGA KESANGE</t>
  </si>
  <si>
    <t>KLB00379</t>
  </si>
  <si>
    <t>ZZJ769</t>
  </si>
  <si>
    <t>TANJUNG</t>
  </si>
  <si>
    <t>KLB00357</t>
  </si>
  <si>
    <t>ZZJ600</t>
  </si>
  <si>
    <t>BAHENAP</t>
  </si>
  <si>
    <t>KALIS</t>
  </si>
  <si>
    <t>KLB00206</t>
  </si>
  <si>
    <t>ZZJ386</t>
  </si>
  <si>
    <t>RIAM PANJANG</t>
  </si>
  <si>
    <t>KLB00421</t>
  </si>
  <si>
    <t>ZZJ016</t>
  </si>
  <si>
    <t>TEMOYOK</t>
  </si>
  <si>
    <t>KLB00482</t>
  </si>
  <si>
    <t>ZZJ004</t>
  </si>
  <si>
    <t>KERANGAN PURUN</t>
  </si>
  <si>
    <t>KLB00231</t>
  </si>
  <si>
    <t>ZZJ343</t>
  </si>
  <si>
    <t>NANGA TAMPANG</t>
  </si>
  <si>
    <t>KLB00458</t>
  </si>
  <si>
    <t>ZZJ602</t>
  </si>
  <si>
    <t>PENYUGUK</t>
  </si>
  <si>
    <t>KLB00462</t>
  </si>
  <si>
    <t>ZZJ604</t>
  </si>
  <si>
    <t>SUNGAI LABUK</t>
  </si>
  <si>
    <t>KLU00200</t>
  </si>
  <si>
    <t>ZZJ468</t>
  </si>
  <si>
    <t>SETABU</t>
  </si>
  <si>
    <t>SEBATIK BARAT</t>
  </si>
  <si>
    <t>KLB00345</t>
  </si>
  <si>
    <t>ZZJ686</t>
  </si>
  <si>
    <t>NANGA LUNGU</t>
  </si>
  <si>
    <t>KLI0021</t>
  </si>
  <si>
    <t>ZZJ638</t>
  </si>
  <si>
    <t>LONG PAKAQ BARU</t>
  </si>
  <si>
    <t>KLB00533</t>
  </si>
  <si>
    <t>ZZJ060</t>
  </si>
  <si>
    <t>SUNGAI BAKAH</t>
  </si>
  <si>
    <t>KLB00333</t>
  </si>
  <si>
    <t>ZZJ683</t>
  </si>
  <si>
    <t>KUMANG JAYA</t>
  </si>
  <si>
    <t>KLB00393</t>
  </si>
  <si>
    <t>ZZJ711</t>
  </si>
  <si>
    <t>KANTUK BUNUT</t>
  </si>
  <si>
    <t>KLB00598</t>
  </si>
  <si>
    <t>ZZJ076</t>
  </si>
  <si>
    <t>PAUH</t>
  </si>
  <si>
    <t>KLB0089</t>
  </si>
  <si>
    <t>ZZJ263</t>
  </si>
  <si>
    <t>GEMA</t>
  </si>
  <si>
    <t>KLI0012</t>
  </si>
  <si>
    <t>ZZJ628</t>
  </si>
  <si>
    <t>NOHA BOAN</t>
  </si>
  <si>
    <t>KLU00239</t>
  </si>
  <si>
    <t>ZZJ481</t>
  </si>
  <si>
    <t>BALANSIKU II</t>
  </si>
  <si>
    <t>SEBATIK</t>
  </si>
  <si>
    <t>KLB001</t>
  </si>
  <si>
    <t>ZZJ008</t>
  </si>
  <si>
    <t>SEMANGA</t>
  </si>
  <si>
    <t>KLB0052</t>
  </si>
  <si>
    <t>ZZJ197</t>
  </si>
  <si>
    <t>KUALAN HILIR</t>
  </si>
  <si>
    <t>KLU00233</t>
  </si>
  <si>
    <t>ZZJ649</t>
  </si>
  <si>
    <t>NAWANG BARU</t>
  </si>
  <si>
    <t>KLI00040</t>
  </si>
  <si>
    <t>ZZJ547</t>
  </si>
  <si>
    <t>DERAYA</t>
  </si>
  <si>
    <t>KLI0020</t>
  </si>
  <si>
    <t>ZZJ637</t>
  </si>
  <si>
    <t>LONG TUYOQ</t>
  </si>
  <si>
    <t>KLU0094</t>
  </si>
  <si>
    <t>ZZJ587</t>
  </si>
  <si>
    <t>SALAN</t>
  </si>
  <si>
    <t>KLI009</t>
  </si>
  <si>
    <t>ZZJ646</t>
  </si>
  <si>
    <t>TIONG OHANG II</t>
  </si>
  <si>
    <t>KLB00607</t>
  </si>
  <si>
    <t>ZZJ026</t>
  </si>
  <si>
    <t>SABAKA</t>
  </si>
  <si>
    <t>MEMPAWAH HULU</t>
  </si>
  <si>
    <t>KLB00304</t>
  </si>
  <si>
    <t>ZZJ596</t>
  </si>
  <si>
    <t>BERINGIN</t>
  </si>
  <si>
    <t>KLB00511</t>
  </si>
  <si>
    <t>ZZJ056</t>
  </si>
  <si>
    <t>TELAGA RAYA</t>
  </si>
  <si>
    <t>ZZJ673</t>
  </si>
  <si>
    <t>SEPOYU</t>
  </si>
  <si>
    <t>KLB00435</t>
  </si>
  <si>
    <t>ZZJ147</t>
  </si>
  <si>
    <t>TAHU</t>
  </si>
  <si>
    <t>KLB00336</t>
  </si>
  <si>
    <t>ZZJ745</t>
  </si>
  <si>
    <t>TINTING SELIGI</t>
  </si>
  <si>
    <t>KLT0013</t>
  </si>
  <si>
    <t>ZZJ422</t>
  </si>
  <si>
    <t>TUMBANG SEPAN</t>
  </si>
  <si>
    <t>KLB00239</t>
  </si>
  <si>
    <t>ZZJ347</t>
  </si>
  <si>
    <t>MENTAJOI</t>
  </si>
  <si>
    <t>KLI006</t>
  </si>
  <si>
    <t>ZZJ643</t>
  </si>
  <si>
    <t>LONG GELAWANG</t>
  </si>
  <si>
    <t>KLU0098</t>
  </si>
  <si>
    <t>ZZJ591</t>
  </si>
  <si>
    <t>TAMBALANG HILIR</t>
  </si>
  <si>
    <t>KLB00236</t>
  </si>
  <si>
    <t>ZZJ346</t>
  </si>
  <si>
    <t>MERAKO JAYA</t>
  </si>
  <si>
    <t>KLT00054</t>
  </si>
  <si>
    <t>ZZJ549</t>
  </si>
  <si>
    <t>KULUK SEPANGI</t>
  </si>
  <si>
    <t>KLI00058</t>
  </si>
  <si>
    <t>ZZJ776</t>
  </si>
  <si>
    <t>UJOH BILANG</t>
  </si>
  <si>
    <t>KLB00493</t>
  </si>
  <si>
    <t>ZZJ174</t>
  </si>
  <si>
    <t>NANGA RAKU</t>
  </si>
  <si>
    <t>KLT00058</t>
  </si>
  <si>
    <t>ZZJ592</t>
  </si>
  <si>
    <t>TELOK TAMPANG</t>
  </si>
  <si>
    <t>KLI00054</t>
  </si>
  <si>
    <t>ZZJ445</t>
  </si>
  <si>
    <t>PERENG TALIQ</t>
  </si>
  <si>
    <t>KLT00029</t>
  </si>
  <si>
    <t>ZZJ424</t>
  </si>
  <si>
    <t>TUMBANG KUBANG</t>
  </si>
  <si>
    <t>KLB00387</t>
  </si>
  <si>
    <t>ZZJ705</t>
  </si>
  <si>
    <t>LAUT TAWANG</t>
  </si>
  <si>
    <t>SUHAID</t>
  </si>
  <si>
    <t>KLT00041</t>
  </si>
  <si>
    <t>ZZJ482</t>
  </si>
  <si>
    <t>TUMBANG TARANEI</t>
  </si>
  <si>
    <t>KLB004</t>
  </si>
  <si>
    <t>ZZJ420</t>
  </si>
  <si>
    <t>SUNGAI TEKAM</t>
  </si>
  <si>
    <t>SANGGAU</t>
  </si>
  <si>
    <t>SEKAYAM</t>
  </si>
  <si>
    <t>KLB00688</t>
  </si>
  <si>
    <t>ZZJ355</t>
  </si>
  <si>
    <t>MUNGGUK BANTOK</t>
  </si>
  <si>
    <t>KLU00110</t>
  </si>
  <si>
    <t>ZZJ480</t>
  </si>
  <si>
    <t>NANTUKIDAN</t>
  </si>
  <si>
    <t>LUMBIS PANSIANGAN</t>
  </si>
  <si>
    <t>KLB0085</t>
  </si>
  <si>
    <t>ZZJ260</t>
  </si>
  <si>
    <t>BENUA KRIO</t>
  </si>
  <si>
    <t>KLB00163</t>
  </si>
  <si>
    <t>ZZJ372</t>
  </si>
  <si>
    <t>SUNGAI SERIA</t>
  </si>
  <si>
    <t>ZZJ627</t>
  </si>
  <si>
    <t>RUKUN DAMAI</t>
  </si>
  <si>
    <t>KLU00111</t>
  </si>
  <si>
    <t>ZZJ436</t>
  </si>
  <si>
    <t>LABANG</t>
  </si>
  <si>
    <t>KLB00168</t>
  </si>
  <si>
    <t>ZZJ281</t>
  </si>
  <si>
    <t>EMPUNAK TAPANG KELADAN</t>
  </si>
  <si>
    <t>KLB00401</t>
  </si>
  <si>
    <t>ZZJ014</t>
  </si>
  <si>
    <t>BENTENG</t>
  </si>
  <si>
    <t>TERIAK</t>
  </si>
  <si>
    <t>KLB00457</t>
  </si>
  <si>
    <t>ZZJ601</t>
  </si>
  <si>
    <t>KERANGAN KORA</t>
  </si>
  <si>
    <t>KLB00411</t>
  </si>
  <si>
    <t>ZZJ015</t>
  </si>
  <si>
    <t>TAWANG</t>
  </si>
  <si>
    <t>SIDING</t>
  </si>
  <si>
    <t>ZZJ577</t>
  </si>
  <si>
    <t>TUMBANG KANIA</t>
  </si>
  <si>
    <t>BUKIT SANTUAI</t>
  </si>
  <si>
    <t>KLT00065</t>
  </si>
  <si>
    <t>ZZJ517</t>
  </si>
  <si>
    <t>KARANG MAS</t>
  </si>
  <si>
    <t>BATANG KAWA</t>
  </si>
  <si>
    <t>ZZJ578</t>
  </si>
  <si>
    <t>TUMBANG TAWAN</t>
  </si>
  <si>
    <t>KLB0038</t>
  </si>
  <si>
    <t>ZZJ118</t>
  </si>
  <si>
    <t>TANJUNG BERINGIN</t>
  </si>
  <si>
    <t>KLB00111</t>
  </si>
  <si>
    <t>ZZJ041</t>
  </si>
  <si>
    <t>BENUA KENCANA</t>
  </si>
  <si>
    <t>KLB00492</t>
  </si>
  <si>
    <t>ZZJ005</t>
  </si>
  <si>
    <t>BEROBAI PERMAI</t>
  </si>
  <si>
    <t>KLB00116</t>
  </si>
  <si>
    <t>ZZJ043</t>
  </si>
  <si>
    <t>JAYA MENTARI</t>
  </si>
  <si>
    <t>KLU0036</t>
  </si>
  <si>
    <t>ZZJ461</t>
  </si>
  <si>
    <t>CINGLAT</t>
  </si>
  <si>
    <t>KLB00240</t>
  </si>
  <si>
    <t>ZZJ348</t>
  </si>
  <si>
    <t>NANGA BIHE</t>
  </si>
  <si>
    <t>KLB00146</t>
  </si>
  <si>
    <t>ZZJ367</t>
  </si>
  <si>
    <t>SUMBER SARI</t>
  </si>
  <si>
    <t>ZZJ259</t>
  </si>
  <si>
    <t>CINTA MANIS</t>
  </si>
  <si>
    <t>KLB00685</t>
  </si>
  <si>
    <t>ZZJ310</t>
  </si>
  <si>
    <t>SUNGAI RISAP</t>
  </si>
  <si>
    <t>BINJAI HULU</t>
  </si>
  <si>
    <t>KLB00621</t>
  </si>
  <si>
    <t>ZZJ297</t>
  </si>
  <si>
    <t>PANEKASAN</t>
  </si>
  <si>
    <t>KLB00353</t>
  </si>
  <si>
    <t>ZZJ755</t>
  </si>
  <si>
    <t>TANJUNG LOKANG</t>
  </si>
  <si>
    <t>PUTUSSIBAU SELATAN</t>
  </si>
  <si>
    <t>KLB00228</t>
  </si>
  <si>
    <t>ZZJ341</t>
  </si>
  <si>
    <t>KERAPUK JAYA</t>
  </si>
  <si>
    <t>ZZJ426</t>
  </si>
  <si>
    <t>MARANDANG</t>
  </si>
  <si>
    <t>KLU00245</t>
  </si>
  <si>
    <t>ZZJ566</t>
  </si>
  <si>
    <t>SEDONGON</t>
  </si>
  <si>
    <t>ZZJ439</t>
  </si>
  <si>
    <t>LANGGASON</t>
  </si>
  <si>
    <t>KLB00324</t>
  </si>
  <si>
    <t>ZZJ598</t>
  </si>
  <si>
    <t>BATI</t>
  </si>
  <si>
    <t>KLI0010</t>
  </si>
  <si>
    <t>ZZJ626</t>
  </si>
  <si>
    <t>LONG PENANEH III</t>
  </si>
  <si>
    <t>KLI00048</t>
  </si>
  <si>
    <t>ZZJ629</t>
  </si>
  <si>
    <t>WANA PARIQ</t>
  </si>
  <si>
    <t>KLB00554</t>
  </si>
  <si>
    <t>ZZJ067</t>
  </si>
  <si>
    <t>KEMBOJA</t>
  </si>
  <si>
    <t>PULAU MAYA</t>
  </si>
  <si>
    <t>KLB00590</t>
  </si>
  <si>
    <t>ZZJ073</t>
  </si>
  <si>
    <t>TEBING BERSERI</t>
  </si>
  <si>
    <t>JELAI HULU</t>
  </si>
  <si>
    <t>KLB00160</t>
  </si>
  <si>
    <t>ZZJ308</t>
  </si>
  <si>
    <t>KUBU BERANGAN</t>
  </si>
  <si>
    <t>KLT00048</t>
  </si>
  <si>
    <t>ZZJ576</t>
  </si>
  <si>
    <t>TUMBANG BARAOI</t>
  </si>
  <si>
    <t>KLB00473</t>
  </si>
  <si>
    <t>ZZJ614</t>
  </si>
  <si>
    <t>NUSA PORING</t>
  </si>
  <si>
    <t>KLB00420</t>
  </si>
  <si>
    <t>ZZJ003</t>
  </si>
  <si>
    <t>SEKENDAL</t>
  </si>
  <si>
    <t>KLI0017</t>
  </si>
  <si>
    <t>ZZJ633</t>
  </si>
  <si>
    <t>LONG ISUN</t>
  </si>
  <si>
    <t>KLB00366</t>
  </si>
  <si>
    <t>ZZJ763</t>
  </si>
  <si>
    <t>RANTAU BUMBUN</t>
  </si>
  <si>
    <t>KLB0092</t>
  </si>
  <si>
    <t>ZZJ266</t>
  </si>
  <si>
    <t>BATU DAYA</t>
  </si>
  <si>
    <t>KLU00262</t>
  </si>
  <si>
    <t>ZZJ469</t>
  </si>
  <si>
    <t>LEPAK ARU</t>
  </si>
  <si>
    <t>KLB00377</t>
  </si>
  <si>
    <t>ZZJ768</t>
  </si>
  <si>
    <t>SUKA MAJU</t>
  </si>
  <si>
    <t>ZZJ411</t>
  </si>
  <si>
    <t>GANTUNG PENGAYUH</t>
  </si>
  <si>
    <t>KLB00243</t>
  </si>
  <si>
    <t>ZZJ395</t>
  </si>
  <si>
    <t>TANJUNG ANDAN</t>
  </si>
  <si>
    <t>KLB00288</t>
  </si>
  <si>
    <t>ZZJ665</t>
  </si>
  <si>
    <t>NANGA DUA</t>
  </si>
  <si>
    <t>KLB00415</t>
  </si>
  <si>
    <t>ZZJ136</t>
  </si>
  <si>
    <t>RASAN</t>
  </si>
  <si>
    <t>KLB0083</t>
  </si>
  <si>
    <t>ZZJ012</t>
  </si>
  <si>
    <t>SENDURUHAN</t>
  </si>
  <si>
    <t>ZZJ504</t>
  </si>
  <si>
    <t>TANJUNG MANGKALIHAT</t>
  </si>
  <si>
    <t>KLT0019</t>
  </si>
  <si>
    <t>ZZJ404</t>
  </si>
  <si>
    <t>RANTAU PANJANG</t>
  </si>
  <si>
    <t>KLB00548</t>
  </si>
  <si>
    <t>ZZJ064</t>
  </si>
  <si>
    <t>LINTAH TAUM</t>
  </si>
  <si>
    <t>KLB00777</t>
  </si>
  <si>
    <t>ZZJ253</t>
  </si>
  <si>
    <t>BILAYUK</t>
  </si>
  <si>
    <t>KLT00066</t>
  </si>
  <si>
    <t>ZZJ528</t>
  </si>
  <si>
    <t>SUNGAI TUAT</t>
  </si>
  <si>
    <t>KLB00441</t>
  </si>
  <si>
    <t>ZZJ151</t>
  </si>
  <si>
    <t>AGAK</t>
  </si>
  <si>
    <t>SEBANGKI</t>
  </si>
  <si>
    <t>KLB00249</t>
  </si>
  <si>
    <t>ZZJ354</t>
  </si>
  <si>
    <t>PULOU SABHANG</t>
  </si>
  <si>
    <t>KLB00509</t>
  </si>
  <si>
    <t>ZZJ022</t>
  </si>
  <si>
    <t>NANGA ORA</t>
  </si>
  <si>
    <t>KLB00440</t>
  </si>
  <si>
    <t>ZZJ019</t>
  </si>
  <si>
    <t>KUMPANG TENGAH</t>
  </si>
  <si>
    <t>KLB00427</t>
  </si>
  <si>
    <t>ZZJ144</t>
  </si>
  <si>
    <t>SIDAN</t>
  </si>
  <si>
    <t>KLB0074</t>
  </si>
  <si>
    <t>ZZJ011</t>
  </si>
  <si>
    <t>LIMPANG</t>
  </si>
  <si>
    <t>KLB00602</t>
  </si>
  <si>
    <t>ZZJ235</t>
  </si>
  <si>
    <t>TEMPOAK</t>
  </si>
  <si>
    <t>MENJALIN</t>
  </si>
  <si>
    <t>KLB00334</t>
  </si>
  <si>
    <t>ZZJ743</t>
  </si>
  <si>
    <t>SERIANG</t>
  </si>
  <si>
    <t>KLB00349</t>
  </si>
  <si>
    <t>ZZJ688</t>
  </si>
  <si>
    <t>LANDAU RANTAU</t>
  </si>
  <si>
    <t>KLT0016</t>
  </si>
  <si>
    <t>ZZJ402</t>
  </si>
  <si>
    <t>TUMBANG DARAP</t>
  </si>
  <si>
    <t>KLB00303</t>
  </si>
  <si>
    <t>ZZJ671</t>
  </si>
  <si>
    <t>KELAKAR</t>
  </si>
  <si>
    <t>ZZJ009</t>
  </si>
  <si>
    <t>NATAI KUINI</t>
  </si>
  <si>
    <t>KLT00044</t>
  </si>
  <si>
    <t>ZZJ499</t>
  </si>
  <si>
    <t>TUMBANG KAWEI</t>
  </si>
  <si>
    <t>KLB0027</t>
  </si>
  <si>
    <t>ZZJ112</t>
  </si>
  <si>
    <t>PETAI PATAH</t>
  </si>
  <si>
    <t>ZZJ583</t>
  </si>
  <si>
    <t>TUMBANG SALUANG</t>
  </si>
  <si>
    <t>KLT00040</t>
  </si>
  <si>
    <t>ZZJ434</t>
  </si>
  <si>
    <t>TUMBANG TABULUS</t>
  </si>
  <si>
    <t>MARIKIT</t>
  </si>
  <si>
    <t>KLB00290</t>
  </si>
  <si>
    <t>ZZJ666</t>
  </si>
  <si>
    <t>NANGA PAYANG</t>
  </si>
  <si>
    <t>KLB00619</t>
  </si>
  <si>
    <t>ZZJ243</t>
  </si>
  <si>
    <t>AMBARANG</t>
  </si>
  <si>
    <t>KLB00438</t>
  </si>
  <si>
    <t>ZZJ149</t>
  </si>
  <si>
    <t>SEHE LUSUR</t>
  </si>
  <si>
    <t>KUALA BEHE</t>
  </si>
  <si>
    <t>KLB00371</t>
  </si>
  <si>
    <t>ZZJ766</t>
  </si>
  <si>
    <t>SRI WANGI</t>
  </si>
  <si>
    <t>KLB00331</t>
  </si>
  <si>
    <t>ZZJ682</t>
  </si>
  <si>
    <t>KELING PANGGAU</t>
  </si>
  <si>
    <t>KLB0059</t>
  </si>
  <si>
    <t>ZZJ033</t>
  </si>
  <si>
    <t>PANGKALAN SUKA</t>
  </si>
  <si>
    <t>KLB00593</t>
  </si>
  <si>
    <t>ZZJ229</t>
  </si>
  <si>
    <t>KARANG DANGIN</t>
  </si>
  <si>
    <t>KLB00477</t>
  </si>
  <si>
    <t>ZZJ618</t>
  </si>
  <si>
    <t>SUNGAI SAMPAK</t>
  </si>
  <si>
    <t>KLB00510</t>
  </si>
  <si>
    <t>ZZJ190</t>
  </si>
  <si>
    <t>NANGA LIBAS</t>
  </si>
  <si>
    <t>KLB00600</t>
  </si>
  <si>
    <t>ZZJ024</t>
  </si>
  <si>
    <t>GOMBANG</t>
  </si>
  <si>
    <t>KLB00153</t>
  </si>
  <si>
    <t>ZZJ305</t>
  </si>
  <si>
    <t>KAYU DUJUNG</t>
  </si>
  <si>
    <t>KLB00394</t>
  </si>
  <si>
    <t>ZZJ712</t>
  </si>
  <si>
    <t>LANGAU</t>
  </si>
  <si>
    <t>KLU00106</t>
  </si>
  <si>
    <t>ZZJ536</t>
  </si>
  <si>
    <t>TUMANTALAS</t>
  </si>
  <si>
    <t>KLB0053</t>
  </si>
  <si>
    <t>ZZJ201</t>
  </si>
  <si>
    <t>SEKUCING LABAI</t>
  </si>
  <si>
    <t>KLB0036</t>
  </si>
  <si>
    <t>ZZJ116</t>
  </si>
  <si>
    <t>SEPOTONG</t>
  </si>
  <si>
    <t>KLB00410</t>
  </si>
  <si>
    <t>ZZJ134</t>
  </si>
  <si>
    <t>SUNGKUNG I</t>
  </si>
  <si>
    <t>KLB00638</t>
  </si>
  <si>
    <t>ZZJ710</t>
  </si>
  <si>
    <t>SUNGAI MAWANG</t>
  </si>
  <si>
    <t>ZZJ607</t>
  </si>
  <si>
    <t>NYANGAU</t>
  </si>
  <si>
    <t>ZZJ777</t>
  </si>
  <si>
    <t>LONG GELAWANG II</t>
  </si>
  <si>
    <t>KLU0029</t>
  </si>
  <si>
    <t>ZZJ564</t>
  </si>
  <si>
    <t>TUBUS</t>
  </si>
  <si>
    <t>KLB00396</t>
  </si>
  <si>
    <t>ZZJ121</t>
  </si>
  <si>
    <t>SELES</t>
  </si>
  <si>
    <t>LEDO</t>
  </si>
  <si>
    <t>KLT00038</t>
  </si>
  <si>
    <t>ZZJ452</t>
  </si>
  <si>
    <t>NUSA KUTAU</t>
  </si>
  <si>
    <t>KLU00105</t>
  </si>
  <si>
    <t>ZZJ432</t>
  </si>
  <si>
    <t>LINSAYUNG</t>
  </si>
  <si>
    <t>KLT00034</t>
  </si>
  <si>
    <t>ZZJ421</t>
  </si>
  <si>
    <t>RIAM BATANG</t>
  </si>
  <si>
    <t>KLU00236</t>
  </si>
  <si>
    <t>ZZJ652</t>
  </si>
  <si>
    <t>DATA DIAN</t>
  </si>
  <si>
    <t>KAYAN HILIR</t>
  </si>
  <si>
    <t>KLB00544</t>
  </si>
  <si>
    <t>ZZJ062</t>
  </si>
  <si>
    <t>DURIAN JAYA</t>
  </si>
  <si>
    <t>KLT0024</t>
  </si>
  <si>
    <t>ZZJ408</t>
  </si>
  <si>
    <t>TUMBANG HENTAS</t>
  </si>
  <si>
    <t>KLB0057</t>
  </si>
  <si>
    <t>ZZJ218</t>
  </si>
  <si>
    <t>SEKUCING KUALAN</t>
  </si>
  <si>
    <t>KLB00614</t>
  </si>
  <si>
    <t>ZZJ007</t>
  </si>
  <si>
    <t>SUNGAI BENING</t>
  </si>
  <si>
    <t>SAJINGAN BESAR</t>
  </si>
  <si>
    <t>KLB00455</t>
  </si>
  <si>
    <t>ZZJ050</t>
  </si>
  <si>
    <t>NANGA NYURUH</t>
  </si>
  <si>
    <t>KLB00466</t>
  </si>
  <si>
    <t>ZZJ608</t>
  </si>
  <si>
    <t>JABAI</t>
  </si>
  <si>
    <t>KLB0091</t>
  </si>
  <si>
    <t>ZZJ265</t>
  </si>
  <si>
    <t>KAMPAR SEBOMBAN</t>
  </si>
  <si>
    <t>KLB00578</t>
  </si>
  <si>
    <t>ZZJ068</t>
  </si>
  <si>
    <t>RUNJAI JAYA</t>
  </si>
  <si>
    <t>MARAU</t>
  </si>
  <si>
    <t>KLB0039</t>
  </si>
  <si>
    <t>ZZJ119</t>
  </si>
  <si>
    <t>RANDAU LIMAT</t>
  </si>
  <si>
    <t>KLB00167</t>
  </si>
  <si>
    <t>ZZJ311</t>
  </si>
  <si>
    <t>NANGA BUGAU</t>
  </si>
  <si>
    <t>ZZJ032</t>
  </si>
  <si>
    <t>PAOH CONCONG</t>
  </si>
  <si>
    <t>KLB00149</t>
  </si>
  <si>
    <t>ZZJ368</t>
  </si>
  <si>
    <t>SWADAYA</t>
  </si>
  <si>
    <t>ZZJ532</t>
  </si>
  <si>
    <t>TELUK SUMBANG</t>
  </si>
  <si>
    <t>BIDUK-BIDUK</t>
  </si>
  <si>
    <t>KLB00555</t>
  </si>
  <si>
    <t>ZZJ216</t>
  </si>
  <si>
    <t>DUSUN KECIL</t>
  </si>
  <si>
    <t>KLB00151</t>
  </si>
  <si>
    <t>ZZJ277</t>
  </si>
  <si>
    <t>GUT JAYA BHAKTI</t>
  </si>
  <si>
    <t>KLB0086</t>
  </si>
  <si>
    <t>ZZJ261</t>
  </si>
  <si>
    <t>SEKUKUN</t>
  </si>
  <si>
    <t>KLB00423</t>
  </si>
  <si>
    <t>ZZJ141</t>
  </si>
  <si>
    <t>DANGE AJI</t>
  </si>
  <si>
    <t>KLB00604</t>
  </si>
  <si>
    <t>ZZJ236</t>
  </si>
  <si>
    <t>SUNGAI JELAYAN</t>
  </si>
  <si>
    <t>ZZJ427</t>
  </si>
  <si>
    <t>TUMBANG SETOLI</t>
  </si>
  <si>
    <t>KLU00269</t>
  </si>
  <si>
    <t>ZZJ590</t>
  </si>
  <si>
    <t>BATUNG</t>
  </si>
  <si>
    <t>ZZJ425</t>
  </si>
  <si>
    <t>TUMBANG SUEI</t>
  </si>
  <si>
    <t>KLT00053</t>
  </si>
  <si>
    <t>ZZJ588</t>
  </si>
  <si>
    <t>BATU PANAHAN</t>
  </si>
  <si>
    <t>KLT009</t>
  </si>
  <si>
    <t>ZZJ419</t>
  </si>
  <si>
    <t>SEPUNDU HANTU</t>
  </si>
  <si>
    <t>KLU0077</t>
  </si>
  <si>
    <t>ZZJ476</t>
  </si>
  <si>
    <t>KALUNSAYAN</t>
  </si>
  <si>
    <t>TULIN ONSOI</t>
  </si>
  <si>
    <t>KLT007</t>
  </si>
  <si>
    <t>ZZJ417</t>
  </si>
  <si>
    <t>BAHAUR</t>
  </si>
  <si>
    <t>KLB00447</t>
  </si>
  <si>
    <t>ZZJ049</t>
  </si>
  <si>
    <t>PADANG PIO</t>
  </si>
  <si>
    <t>BANYUKE HULU</t>
  </si>
  <si>
    <t>KLB00436</t>
  </si>
  <si>
    <t>ZZJ148</t>
  </si>
  <si>
    <t>PERMIIT</t>
  </si>
  <si>
    <t>KLB00686</t>
  </si>
  <si>
    <t>ZZJ296</t>
  </si>
  <si>
    <t>SEKUBANG</t>
  </si>
  <si>
    <t>ZZJ414</t>
  </si>
  <si>
    <t>BUKIT BULUH</t>
  </si>
  <si>
    <t>KLB00444</t>
  </si>
  <si>
    <t>ZZJ020</t>
  </si>
  <si>
    <t>ANGAN TEMBAWANG</t>
  </si>
  <si>
    <t>JELIMPO</t>
  </si>
  <si>
    <t>KLT0017</t>
  </si>
  <si>
    <t>ZZJ403</t>
  </si>
  <si>
    <t>TUMBANG BAHAN</t>
  </si>
  <si>
    <t>KLB00360</t>
  </si>
  <si>
    <t>ZZJ693</t>
  </si>
  <si>
    <t>KENSURAY</t>
  </si>
  <si>
    <t>KLB00302</t>
  </si>
  <si>
    <t>ZZJ727</t>
  </si>
  <si>
    <t>NANGA YEN</t>
  </si>
  <si>
    <t>KLB00585</t>
  </si>
  <si>
    <t>ZZJ226</t>
  </si>
  <si>
    <t>LAMAN SATONG</t>
  </si>
  <si>
    <t>MATAN HILIR UTARA</t>
  </si>
  <si>
    <t>ZZJ048</t>
  </si>
  <si>
    <t>SEKAIS</t>
  </si>
  <si>
    <t>KLB00507</t>
  </si>
  <si>
    <t>ZZJ055</t>
  </si>
  <si>
    <t>NANGA BETANGAI</t>
  </si>
  <si>
    <t>KLB00549</t>
  </si>
  <si>
    <t>ZZJ065</t>
  </si>
  <si>
    <t>LAJA</t>
  </si>
  <si>
    <t>KLB00451</t>
  </si>
  <si>
    <t>ZZJ021</t>
  </si>
  <si>
    <t>NANGA ENTEBAH</t>
  </si>
  <si>
    <t>BELIMBING</t>
  </si>
  <si>
    <t>KLU0087</t>
  </si>
  <si>
    <t>ZZJ581</t>
  </si>
  <si>
    <t>TUKULON</t>
  </si>
  <si>
    <t>KLB00350</t>
  </si>
  <si>
    <t>ZZJ689</t>
  </si>
  <si>
    <t>ENTEBI</t>
  </si>
  <si>
    <t>KLB00356</t>
  </si>
  <si>
    <t>ZZJ691</t>
  </si>
  <si>
    <t>NANGA RAUN</t>
  </si>
  <si>
    <t>KLB00512</t>
  </si>
  <si>
    <t>ZZJ191</t>
  </si>
  <si>
    <t>TELUK PONGKAL</t>
  </si>
  <si>
    <t>KLB00348</t>
  </si>
  <si>
    <t>ZZJ752</t>
  </si>
  <si>
    <t>PERJUK</t>
  </si>
  <si>
    <t>KLT0014</t>
  </si>
  <si>
    <t>ZZJ423</t>
  </si>
  <si>
    <t>TUMBANG SETAWAI</t>
  </si>
  <si>
    <t>KLB00321</t>
  </si>
  <si>
    <t>ZZJ678</t>
  </si>
  <si>
    <t>NANGA LEMEDAK</t>
  </si>
  <si>
    <t>KLB00505</t>
  </si>
  <si>
    <t>ZZJ187</t>
  </si>
  <si>
    <t>SIJAU</t>
  </si>
  <si>
    <t>ZZJ538</t>
  </si>
  <si>
    <t>DEHES ASEM</t>
  </si>
  <si>
    <t>KLB00344</t>
  </si>
  <si>
    <t>ZZJ685</t>
  </si>
  <si>
    <t>LANDAU BADAI</t>
  </si>
  <si>
    <t>KLB00351</t>
  </si>
  <si>
    <t>ZZJ753</t>
  </si>
  <si>
    <t>SELIMU</t>
  </si>
  <si>
    <t>KLB00293</t>
  </si>
  <si>
    <t>ZZJ724</t>
  </si>
  <si>
    <t>SEGITAK</t>
  </si>
  <si>
    <t>KLB00611</t>
  </si>
  <si>
    <t>ZZJ240</t>
  </si>
  <si>
    <t>DUSUN KECIL II</t>
  </si>
  <si>
    <t>KLI0016</t>
  </si>
  <si>
    <t>ZZJ632</t>
  </si>
  <si>
    <t>LONG PAKAQ</t>
  </si>
  <si>
    <t>KLB0072</t>
  </si>
  <si>
    <t>ZZJ010</t>
  </si>
  <si>
    <t>BATU BERANSAH</t>
  </si>
  <si>
    <t>TUMBANG TITI</t>
  </si>
  <si>
    <t>ZZJ373</t>
  </si>
  <si>
    <t>SUNGAI BUGAU</t>
  </si>
  <si>
    <t>KLT00057</t>
  </si>
  <si>
    <t>ZZJ580</t>
  </si>
  <si>
    <t>TUMBANG SALAMAN</t>
  </si>
  <si>
    <t>KLI00056</t>
  </si>
  <si>
    <t>ZZJ641</t>
  </si>
  <si>
    <t>LONG MERAH</t>
  </si>
  <si>
    <t>KLU00263</t>
  </si>
  <si>
    <t>ZZJ471</t>
  </si>
  <si>
    <t>LONG LIAN</t>
  </si>
  <si>
    <t>KLB0028</t>
  </si>
  <si>
    <t>ZZJ030</t>
  </si>
  <si>
    <t>RANDAU</t>
  </si>
  <si>
    <t>KLB0029</t>
  </si>
  <si>
    <t>ZZJ113</t>
  </si>
  <si>
    <t>DEMIT</t>
  </si>
  <si>
    <t>KLU00162</t>
  </si>
  <si>
    <t>ZZJ505</t>
  </si>
  <si>
    <t>PA' PIRIT</t>
  </si>
  <si>
    <t>KLB00318</t>
  </si>
  <si>
    <t>ZZJ676</t>
  </si>
  <si>
    <t>ENTIPAN</t>
  </si>
  <si>
    <t>ZZJ483</t>
  </si>
  <si>
    <t>RANTAU BAHAI</t>
  </si>
  <si>
    <t>KLT00031</t>
  </si>
  <si>
    <t>ZZJ412</t>
  </si>
  <si>
    <t>TUMBANG SALAU</t>
  </si>
  <si>
    <t>KLB00687</t>
  </si>
  <si>
    <t>ZZJ351</t>
  </si>
  <si>
    <t>LANDAU PANJANG</t>
  </si>
  <si>
    <t>KLB0047</t>
  </si>
  <si>
    <t>ZZJ162</t>
  </si>
  <si>
    <t>MERABU JAYA</t>
  </si>
  <si>
    <t>KLB00456</t>
  </si>
  <si>
    <t>ZZJ051</t>
  </si>
  <si>
    <t>NANGA KEMPANGAI</t>
  </si>
  <si>
    <t>KLT00063</t>
  </si>
  <si>
    <t>ZZJ519</t>
  </si>
  <si>
    <t>KINIPAN</t>
  </si>
  <si>
    <t>ZZJ409</t>
  </si>
  <si>
    <t>TANJUNG TUKAL</t>
  </si>
  <si>
    <t>KLB00622</t>
  </si>
  <si>
    <t>ZZJ352</t>
  </si>
  <si>
    <t>MENSUANG</t>
  </si>
  <si>
    <t>KLU0074</t>
  </si>
  <si>
    <t>ZZJ572</t>
  </si>
  <si>
    <t>PA' URANG</t>
  </si>
  <si>
    <t>ZZJ309</t>
  </si>
  <si>
    <t>SUNGAI RISAP MENSIKU BERSATU</t>
  </si>
  <si>
    <t>ZZJ521</t>
  </si>
  <si>
    <t>MARUKANGAN</t>
  </si>
  <si>
    <t>ZZJ063</t>
  </si>
  <si>
    <t>TOGAN BARU</t>
  </si>
  <si>
    <t>Latitude</t>
  </si>
  <si>
    <t>Longitude</t>
  </si>
  <si>
    <t>MSS Need Send?</t>
  </si>
  <si>
    <t>Status Pengiriman KSO / On hand MSS</t>
  </si>
  <si>
    <t>21/08/2026</t>
  </si>
  <si>
    <t>17/09/2026</t>
  </si>
  <si>
    <t>25/09/2026</t>
  </si>
  <si>
    <t>22/08/2026</t>
  </si>
  <si>
    <t>25/08/2026</t>
  </si>
  <si>
    <t>KSO Need Send?</t>
  </si>
  <si>
    <t>PRE-APPROVAL-KLAIM-GARANSI/PMO/X/2026/0181</t>
  </si>
  <si>
    <t>16-10-2026 14:34</t>
  </si>
  <si>
    <t>PRE-APPROVAL-KLAIM-GARANSI/PMO/X/2026/0179</t>
  </si>
  <si>
    <t>16-10-2026 11:31</t>
  </si>
  <si>
    <t>PRE-APPROVAL-KLAIM-GARANSI/PMO/X/2026/0178</t>
  </si>
  <si>
    <t>16-10-2026 11:23</t>
  </si>
  <si>
    <t>PRE-APPROVAL-KLAIM-GARANSI/PMO/X/2026/0177</t>
  </si>
  <si>
    <t>16-10-2026 11:20</t>
  </si>
  <si>
    <t>PRE-APPROVAL-KLAIM-GARANSI/PMO/X/2026/0176</t>
  </si>
  <si>
    <t>16-10-2026 11:08</t>
  </si>
  <si>
    <t>PRE-APPROVAL-KLAIM-GARANSI/PMO/X/2026/0175</t>
  </si>
  <si>
    <t>16-10-2026 10:57</t>
  </si>
  <si>
    <t>PRE-APPROVAL-KLAIM-GARANSI/PMO/X/2026/0174</t>
  </si>
  <si>
    <t>16-10-2026 10:52</t>
  </si>
  <si>
    <t>PRE-APPROVAL-KLAIM-GARANSI/PMO/X/2026/0173</t>
  </si>
  <si>
    <t>16-10-2026 10:43</t>
  </si>
  <si>
    <t>PRE-APPROVAL-KLAIM-GARANSI/PMO/X/2026/0172</t>
  </si>
  <si>
    <t>16-10-2026 10:13</t>
  </si>
  <si>
    <t>PRE-APPROVAL-KLAIM-GARANSI/PMO/X/2026/0171</t>
  </si>
  <si>
    <t>16-10-2026 09:55</t>
  </si>
  <si>
    <t>PRE-APPROVAL-KLAIM-GARANSI/PMO/X/2026/0170</t>
  </si>
  <si>
    <t>16-10-2026 09:52</t>
  </si>
  <si>
    <t>PRE-APPROVAL-KLAIM-GARANSI/PMO/X/2026/0169</t>
  </si>
  <si>
    <t>16-10-2026 09:47</t>
  </si>
  <si>
    <t>PRE-APPROVAL-KLAIM-GARANSI/PMO/X/2026/0168</t>
  </si>
  <si>
    <t>16-10-2026 09:40</t>
  </si>
  <si>
    <t>PRE-APPROVAL-KLAIM-GARANSI/PMO/X/2026/0165</t>
  </si>
  <si>
    <t>14-10-2026 17:47</t>
  </si>
  <si>
    <t>PRE-APPROVAL-KLAIM-GARANSI/PMO/X/2026/0164</t>
  </si>
  <si>
    <t>14-10-2026 17:43</t>
  </si>
  <si>
    <t xml:space="preserve">Pre Approval Klaim Garansi - KSO: PV yard lamp retak
</t>
  </si>
  <si>
    <t>SERTIFIKAT-KLAIM-GARANSI/BAKTI/X/2026/0019</t>
  </si>
  <si>
    <t>SERTIFIKAT-KLAIM-GARANSI/BAKTI/X/2026/0011</t>
  </si>
  <si>
    <t>SERTIFIKAT-KLAIM-GARANSI/BAKTI/X/2026/0013</t>
  </si>
  <si>
    <t>SERTIFIKAT-KLAIM-GARANSI/BAKTI/X/2026/0018</t>
  </si>
  <si>
    <t>SERTIFIKAT-KLAIM-GARANSI/BAKTI/X/2026/0014</t>
  </si>
  <si>
    <t>SERTIFIKAT-KLAIM-GARANSI/BAKTI/X/2026/0015</t>
  </si>
  <si>
    <t>SERTIFIKAT-KLAIM-GARANSI/BAKTI/X/2026/0012</t>
  </si>
  <si>
    <t>SERTIFIKAT-KLAIM-GARANSI/BAKTI/X/2026/0016</t>
  </si>
  <si>
    <t>SERTIFIKAT-KLAIM-GARANSI/BAKTI/X/2026/0017</t>
  </si>
  <si>
    <t>SERTIFIKAT-KLAIM-GARANSI/BAKTI/X/2026/0020</t>
  </si>
  <si>
    <t>SERTIFIKAT-KLAIM-GARANSI/BAKTI/X/2026/0010</t>
  </si>
  <si>
    <t>SERTIFIKAT-KLAIM-GARANSI/BAKTI/X/2026/0009</t>
  </si>
  <si>
    <t>SERTIFIKAT-KLAIM-GARANSI/BAKTI/X/2026/0008</t>
  </si>
  <si>
    <t>SERTIFIKAT-KLAIM-GARANSI/BAKTI/X/2026/0007</t>
  </si>
  <si>
    <t>SERTIFIKAT-KLAIM-GARANSI/BAKTI/X/2026/0006</t>
  </si>
  <si>
    <t>SERTIFIKAT-KLAIM-GARANSI/BAKTI/X/2026/0005</t>
  </si>
  <si>
    <t>SERTIFIKAT-KLAIM-GARANSI/BAKTI/X/2026/0004</t>
  </si>
  <si>
    <t>SERTIFIKAT-KLAIM-GARANSI/BAKTI/X/2026/0003</t>
  </si>
  <si>
    <t>SERTIFIKAT-KLAIM-GARANSI/BAKTI/X/2026/0002</t>
  </si>
  <si>
    <t>Status Pengiriman</t>
  </si>
  <si>
    <t>Date Pengiriman</t>
  </si>
  <si>
    <t>Done Sent Sparepart</t>
  </si>
  <si>
    <t>NY Send</t>
  </si>
  <si>
    <t>PRE-APPROVAL-KLAIM-GARANSI/PMO/X/2026/0184</t>
  </si>
  <si>
    <t>16-10-2026 16:42</t>
  </si>
  <si>
    <t>PRE-APPROVAL-KLAIM-GARANSI/PMO/X/2026/0183</t>
  </si>
  <si>
    <t>16-10-2026 16:32</t>
  </si>
  <si>
    <t>PRE-APPROVAL-KLAIM-GARANSI/PMO/X/2026/0182</t>
  </si>
  <si>
    <t>OBL Lamp</t>
  </si>
  <si>
    <t>16-10-2026 16:25</t>
  </si>
  <si>
    <t>PRE-APPROVAL-KLAIM-GARANSI/PMO/X/2026/0188</t>
  </si>
  <si>
    <t>17-10-2026 15:14</t>
  </si>
  <si>
    <t>PRE-APPROVAL-KLAIM-GARANSI/PMO/X/2026/0187</t>
  </si>
  <si>
    <t>Tower</t>
  </si>
  <si>
    <t>17-10-2026 14:38</t>
  </si>
  <si>
    <t>PRE-APPROVAL-KLAIM-GARANSI/PMO/X/2026/0186</t>
  </si>
  <si>
    <t>17-10-2026 14:34</t>
  </si>
  <si>
    <t>PRE-APPROVAL-KLAIM-GARANSI/PMO/X/2026/0185</t>
  </si>
  <si>
    <t>17-10-2026 14:19</t>
  </si>
  <si>
    <t>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</si>
</sst>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0" tint="-0.14999847407452621"/>
        <bgColor rgb="FFECECEC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0" fillId="0" borderId="0" xfId="0" applyNumberFormat="1"/>
    <xf numFmtId="0" fontId="4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E4FF93E-4F6A-42F4-871A-80B012AF1C2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zoomScale="85" zoomScaleNormal="100" workbookViewId="0">
      <pane ySplit="1" topLeftCell="A65" activePane="bottomLeft" state="frozen"/>
      <selection activeCell="C1" sqref="C1"/>
      <selection pane="bottomLeft" activeCell="B2" sqref="B2:B106"/>
    </sheetView>
  </sheetViews>
  <sheetFormatPr defaultRowHeight="15" x14ac:dyDescent="0.25"/>
  <cols>
    <col min="1" max="1" width="11.42578125" bestFit="1" customWidth="1"/>
    <col min="2" max="2" width="15.7109375" bestFit="1" customWidth="1"/>
    <col min="3" max="3" width="56.42578125" bestFit="1" customWidth="1"/>
    <col min="4" max="4" width="35.28515625" bestFit="1" customWidth="1"/>
    <col min="5" max="5" width="19.5703125" bestFit="1" customWidth="1"/>
    <col min="6" max="6" width="26.7109375" bestFit="1" customWidth="1"/>
    <col min="7" max="7" width="18.28515625" bestFit="1" customWidth="1"/>
    <col min="8" max="8" width="15.7109375" bestFit="1" customWidth="1"/>
    <col min="9" max="9" width="59.140625" bestFit="1" customWidth="1"/>
    <col min="10" max="10" width="17.85546875" customWidth="1"/>
    <col min="11" max="11" width="24" customWidth="1"/>
    <col min="12" max="12" width="23.42578125" customWidth="1"/>
    <col min="13" max="13" width="24.5703125" customWidth="1"/>
    <col min="14" max="14" width="24.42578125" bestFit="1" customWidth="1"/>
    <col min="15" max="15" width="31.140625" bestFit="1" customWidth="1"/>
    <col min="16" max="16" width="25.85546875" bestFit="1" customWidth="1"/>
    <col min="17" max="17" width="36.42578125" bestFit="1" customWidth="1"/>
    <col min="18" max="18" width="198.140625" customWidth="1"/>
    <col min="19" max="19" width="84.85546875" bestFit="1" customWidth="1"/>
  </cols>
  <sheetData>
    <row r="1" spans="1:19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x14ac:dyDescent="0.25">
      <c r="A2" s="1">
        <v>1</v>
      </c>
      <c r="B2" s="1" t="s">
        <v>1178</v>
      </c>
      <c r="C2" s="1" t="s">
        <v>1471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33</v>
      </c>
      <c r="I2" s="1" t="s">
        <v>41</v>
      </c>
      <c r="J2" s="1">
        <v>1</v>
      </c>
      <c r="K2" s="1" t="s">
        <v>27</v>
      </c>
      <c r="L2" s="1" t="s">
        <v>1472</v>
      </c>
      <c r="M2" s="1" t="s">
        <v>29</v>
      </c>
      <c r="N2" s="1" t="s">
        <v>30</v>
      </c>
      <c r="O2" s="1" t="s">
        <v>256</v>
      </c>
      <c r="P2" s="1" t="s">
        <v>21</v>
      </c>
      <c r="Q2" s="1" t="s">
        <v>21</v>
      </c>
      <c r="R2" s="1" t="s">
        <v>21</v>
      </c>
      <c r="S2" s="1" t="s">
        <v>21</v>
      </c>
    </row>
    <row r="3" spans="1:19" x14ac:dyDescent="0.25">
      <c r="A3" s="1">
        <v>2</v>
      </c>
      <c r="B3" s="1" t="s">
        <v>1178</v>
      </c>
      <c r="C3" s="1" t="s">
        <v>1473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1474</v>
      </c>
      <c r="I3" s="1" t="s">
        <v>208</v>
      </c>
      <c r="J3" s="1">
        <v>1</v>
      </c>
      <c r="K3" s="1" t="s">
        <v>27</v>
      </c>
      <c r="L3" s="1" t="s">
        <v>1475</v>
      </c>
      <c r="M3" s="1" t="s">
        <v>29</v>
      </c>
      <c r="N3" s="1" t="s">
        <v>30</v>
      </c>
      <c r="O3" s="1" t="s">
        <v>256</v>
      </c>
      <c r="P3" s="1" t="s">
        <v>21</v>
      </c>
      <c r="Q3" s="1" t="s">
        <v>21</v>
      </c>
      <c r="R3" s="1" t="s">
        <v>21</v>
      </c>
      <c r="S3" s="1" t="s">
        <v>21</v>
      </c>
    </row>
    <row r="4" spans="1:19" x14ac:dyDescent="0.25">
      <c r="A4" s="1">
        <v>3</v>
      </c>
      <c r="B4" s="1" t="s">
        <v>341</v>
      </c>
      <c r="C4" s="1" t="s">
        <v>1476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1474</v>
      </c>
      <c r="I4" s="1" t="s">
        <v>208</v>
      </c>
      <c r="J4" s="1">
        <v>1</v>
      </c>
      <c r="K4" s="1" t="s">
        <v>27</v>
      </c>
      <c r="L4" s="1" t="s">
        <v>1477</v>
      </c>
      <c r="M4" s="1" t="s">
        <v>29</v>
      </c>
      <c r="N4" s="1" t="s">
        <v>30</v>
      </c>
      <c r="O4" s="1" t="s">
        <v>256</v>
      </c>
      <c r="P4" s="1" t="s">
        <v>21</v>
      </c>
      <c r="Q4" s="1" t="s">
        <v>21</v>
      </c>
      <c r="R4" s="1" t="s">
        <v>21</v>
      </c>
      <c r="S4" s="1" t="s">
        <v>21</v>
      </c>
    </row>
    <row r="5" spans="1:19" x14ac:dyDescent="0.25">
      <c r="A5" s="1">
        <v>4</v>
      </c>
      <c r="B5" s="1" t="s">
        <v>1178</v>
      </c>
      <c r="C5" s="1" t="s">
        <v>1478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33</v>
      </c>
      <c r="I5" s="1" t="s">
        <v>50</v>
      </c>
      <c r="J5" s="1">
        <v>1</v>
      </c>
      <c r="K5" s="1" t="s">
        <v>27</v>
      </c>
      <c r="L5" s="1" t="s">
        <v>1479</v>
      </c>
      <c r="M5" s="1" t="s">
        <v>29</v>
      </c>
      <c r="N5" s="1" t="s">
        <v>30</v>
      </c>
      <c r="O5" s="1" t="s">
        <v>256</v>
      </c>
      <c r="P5" s="1" t="s">
        <v>21</v>
      </c>
      <c r="Q5" s="1" t="s">
        <v>21</v>
      </c>
      <c r="R5" s="1" t="s">
        <v>21</v>
      </c>
      <c r="S5" s="1" t="s">
        <v>21</v>
      </c>
    </row>
    <row r="6" spans="1:19" x14ac:dyDescent="0.25">
      <c r="A6" s="1">
        <v>5</v>
      </c>
      <c r="B6" s="1" t="s">
        <v>891</v>
      </c>
      <c r="C6" s="1" t="s">
        <v>1464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1480</v>
      </c>
      <c r="I6" s="1" t="s">
        <v>26</v>
      </c>
      <c r="J6" s="1">
        <v>1</v>
      </c>
      <c r="K6" s="1" t="s">
        <v>27</v>
      </c>
      <c r="L6" s="1" t="s">
        <v>1465</v>
      </c>
      <c r="M6" s="1" t="s">
        <v>29</v>
      </c>
      <c r="N6" s="1" t="s">
        <v>30</v>
      </c>
      <c r="O6" s="1" t="s">
        <v>256</v>
      </c>
      <c r="P6" s="1" t="s">
        <v>21</v>
      </c>
      <c r="Q6" s="1" t="s">
        <v>21</v>
      </c>
      <c r="R6" s="1" t="s">
        <v>21</v>
      </c>
      <c r="S6" s="1" t="s">
        <v>21</v>
      </c>
    </row>
    <row r="7" spans="1:19" x14ac:dyDescent="0.25">
      <c r="A7" s="1">
        <v>6</v>
      </c>
      <c r="B7" s="1" t="s">
        <v>858</v>
      </c>
      <c r="C7" s="1" t="s">
        <v>1466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33</v>
      </c>
      <c r="I7" s="1" t="s">
        <v>50</v>
      </c>
      <c r="J7" s="1">
        <v>1</v>
      </c>
      <c r="K7" s="1" t="s">
        <v>27</v>
      </c>
      <c r="L7" s="1" t="s">
        <v>1467</v>
      </c>
      <c r="M7" s="1" t="s">
        <v>29</v>
      </c>
      <c r="N7" s="1" t="s">
        <v>30</v>
      </c>
      <c r="O7" s="1" t="s">
        <v>256</v>
      </c>
      <c r="P7" s="1" t="s">
        <v>21</v>
      </c>
      <c r="Q7" s="1" t="s">
        <v>21</v>
      </c>
      <c r="R7" s="1" t="s">
        <v>21</v>
      </c>
      <c r="S7" s="1" t="s">
        <v>21</v>
      </c>
    </row>
    <row r="8" spans="1:19" x14ac:dyDescent="0.25">
      <c r="A8" s="1">
        <v>7</v>
      </c>
      <c r="B8" s="1" t="s">
        <v>748</v>
      </c>
      <c r="C8" s="1" t="s">
        <v>1468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1474</v>
      </c>
      <c r="I8" s="1" t="s">
        <v>1469</v>
      </c>
      <c r="J8" s="1">
        <v>1</v>
      </c>
      <c r="K8" s="1" t="s">
        <v>27</v>
      </c>
      <c r="L8" s="1" t="s">
        <v>1470</v>
      </c>
      <c r="M8" s="1" t="s">
        <v>29</v>
      </c>
      <c r="N8" s="1" t="s">
        <v>30</v>
      </c>
      <c r="O8" s="1" t="s">
        <v>256</v>
      </c>
      <c r="P8" s="1" t="s">
        <v>21</v>
      </c>
      <c r="Q8" s="1" t="s">
        <v>21</v>
      </c>
      <c r="R8" s="1" t="s">
        <v>21</v>
      </c>
      <c r="S8" s="1" t="s">
        <v>21</v>
      </c>
    </row>
    <row r="9" spans="1:19" x14ac:dyDescent="0.25">
      <c r="A9" s="1">
        <v>8</v>
      </c>
      <c r="B9" s="1" t="s">
        <v>891</v>
      </c>
      <c r="C9" s="1" t="s">
        <v>1410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1480</v>
      </c>
      <c r="I9" s="1" t="s">
        <v>56</v>
      </c>
      <c r="J9" s="1">
        <v>1</v>
      </c>
      <c r="K9" s="1" t="s">
        <v>27</v>
      </c>
      <c r="L9" s="1" t="s">
        <v>1411</v>
      </c>
      <c r="M9" s="1" t="s">
        <v>29</v>
      </c>
      <c r="N9" s="1" t="s">
        <v>30</v>
      </c>
      <c r="O9" s="1" t="s">
        <v>256</v>
      </c>
      <c r="P9" s="1" t="s">
        <v>21</v>
      </c>
      <c r="Q9" s="1" t="s">
        <v>21</v>
      </c>
      <c r="R9" s="1" t="s">
        <v>21</v>
      </c>
      <c r="S9" s="1" t="s">
        <v>21</v>
      </c>
    </row>
    <row r="10" spans="1:19" x14ac:dyDescent="0.25">
      <c r="A10" s="1">
        <v>9</v>
      </c>
      <c r="B10" s="1" t="s">
        <v>341</v>
      </c>
      <c r="C10" s="1" t="s">
        <v>1412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33</v>
      </c>
      <c r="I10" s="1" t="s">
        <v>50</v>
      </c>
      <c r="J10" s="1">
        <v>1</v>
      </c>
      <c r="K10" s="1" t="s">
        <v>27</v>
      </c>
      <c r="L10" s="1" t="s">
        <v>1413</v>
      </c>
      <c r="M10" s="1" t="s">
        <v>29</v>
      </c>
      <c r="N10" s="1" t="s">
        <v>30</v>
      </c>
      <c r="O10" s="1" t="s">
        <v>256</v>
      </c>
      <c r="P10" s="1" t="s">
        <v>21</v>
      </c>
      <c r="Q10" s="1" t="s">
        <v>21</v>
      </c>
      <c r="R10" s="1" t="s">
        <v>21</v>
      </c>
      <c r="S10" s="1" t="s">
        <v>21</v>
      </c>
    </row>
    <row r="11" spans="1:19" x14ac:dyDescent="0.25">
      <c r="A11" s="1">
        <v>10</v>
      </c>
      <c r="B11" s="1" t="s">
        <v>375</v>
      </c>
      <c r="C11" s="1" t="s">
        <v>1414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33</v>
      </c>
      <c r="I11" s="1" t="s">
        <v>50</v>
      </c>
      <c r="J11" s="1">
        <v>1</v>
      </c>
      <c r="K11" s="1" t="s">
        <v>27</v>
      </c>
      <c r="L11" s="1" t="s">
        <v>1415</v>
      </c>
      <c r="M11" s="1" t="s">
        <v>29</v>
      </c>
      <c r="N11" s="1" t="s">
        <v>30</v>
      </c>
      <c r="O11" s="1" t="s">
        <v>256</v>
      </c>
      <c r="P11" s="1" t="s">
        <v>21</v>
      </c>
      <c r="Q11" s="1" t="s">
        <v>21</v>
      </c>
      <c r="R11" s="1" t="s">
        <v>21</v>
      </c>
      <c r="S11" s="1" t="s">
        <v>21</v>
      </c>
    </row>
    <row r="12" spans="1:19" x14ac:dyDescent="0.25">
      <c r="A12" s="1">
        <v>11</v>
      </c>
      <c r="B12" s="1" t="s">
        <v>387</v>
      </c>
      <c r="C12" s="1" t="s">
        <v>1416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33</v>
      </c>
      <c r="I12" s="1" t="s">
        <v>50</v>
      </c>
      <c r="J12" s="1">
        <v>1</v>
      </c>
      <c r="K12" s="1" t="s">
        <v>27</v>
      </c>
      <c r="L12" s="1" t="s">
        <v>1417</v>
      </c>
      <c r="M12" s="1" t="s">
        <v>29</v>
      </c>
      <c r="N12" s="1" t="s">
        <v>30</v>
      </c>
      <c r="O12" s="1" t="s">
        <v>256</v>
      </c>
      <c r="P12" s="1" t="s">
        <v>21</v>
      </c>
      <c r="Q12" s="1" t="s">
        <v>21</v>
      </c>
      <c r="R12" s="1" t="s">
        <v>21</v>
      </c>
      <c r="S12" s="1" t="s">
        <v>21</v>
      </c>
    </row>
    <row r="13" spans="1:19" x14ac:dyDescent="0.25">
      <c r="A13" s="1">
        <v>12</v>
      </c>
      <c r="B13" s="1" t="s">
        <v>1371</v>
      </c>
      <c r="C13" s="1" t="s">
        <v>1418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33</v>
      </c>
      <c r="I13" s="1" t="s">
        <v>50</v>
      </c>
      <c r="J13" s="1">
        <v>1</v>
      </c>
      <c r="K13" s="1" t="s">
        <v>27</v>
      </c>
      <c r="L13" s="1" t="s">
        <v>1419</v>
      </c>
      <c r="M13" s="1" t="s">
        <v>29</v>
      </c>
      <c r="N13" s="1" t="s">
        <v>30</v>
      </c>
      <c r="O13" s="1" t="s">
        <v>256</v>
      </c>
      <c r="P13" s="1" t="s">
        <v>21</v>
      </c>
      <c r="Q13" s="1" t="s">
        <v>21</v>
      </c>
      <c r="R13" s="1" t="s">
        <v>21</v>
      </c>
      <c r="S13" s="1" t="s">
        <v>21</v>
      </c>
    </row>
    <row r="14" spans="1:19" x14ac:dyDescent="0.25">
      <c r="A14" s="1">
        <v>13</v>
      </c>
      <c r="B14" s="1" t="s">
        <v>1276</v>
      </c>
      <c r="C14" s="1" t="s">
        <v>1420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33</v>
      </c>
      <c r="I14" s="1" t="s">
        <v>50</v>
      </c>
      <c r="J14" s="1">
        <v>1</v>
      </c>
      <c r="K14" s="1" t="s">
        <v>27</v>
      </c>
      <c r="L14" s="1" t="s">
        <v>1421</v>
      </c>
      <c r="M14" s="1" t="s">
        <v>29</v>
      </c>
      <c r="N14" s="1" t="s">
        <v>30</v>
      </c>
      <c r="O14" s="1" t="s">
        <v>256</v>
      </c>
      <c r="P14" s="1" t="s">
        <v>21</v>
      </c>
      <c r="Q14" s="1" t="s">
        <v>21</v>
      </c>
      <c r="R14" s="1" t="s">
        <v>21</v>
      </c>
      <c r="S14" s="1" t="s">
        <v>21</v>
      </c>
    </row>
    <row r="15" spans="1:19" x14ac:dyDescent="0.25">
      <c r="A15" s="1">
        <v>14</v>
      </c>
      <c r="B15" s="1" t="s">
        <v>1316</v>
      </c>
      <c r="C15" s="1" t="s">
        <v>1422</v>
      </c>
      <c r="D15" s="1" t="s">
        <v>21</v>
      </c>
      <c r="E15" s="1" t="s">
        <v>22</v>
      </c>
      <c r="F15" s="1" t="s">
        <v>23</v>
      </c>
      <c r="G15" s="1" t="s">
        <v>24</v>
      </c>
      <c r="H15" s="1" t="s">
        <v>33</v>
      </c>
      <c r="I15" s="1" t="s">
        <v>50</v>
      </c>
      <c r="J15" s="1">
        <v>1</v>
      </c>
      <c r="K15" s="1" t="s">
        <v>27</v>
      </c>
      <c r="L15" s="1" t="s">
        <v>1423</v>
      </c>
      <c r="M15" s="1" t="s">
        <v>29</v>
      </c>
      <c r="N15" s="1" t="s">
        <v>30</v>
      </c>
      <c r="O15" s="1" t="s">
        <v>256</v>
      </c>
      <c r="P15" s="1" t="s">
        <v>21</v>
      </c>
      <c r="Q15" s="1" t="s">
        <v>21</v>
      </c>
      <c r="R15" s="1" t="s">
        <v>21</v>
      </c>
      <c r="S15" s="1" t="s">
        <v>21</v>
      </c>
    </row>
    <row r="16" spans="1:19" x14ac:dyDescent="0.25">
      <c r="A16" s="1">
        <v>15</v>
      </c>
      <c r="B16" s="1" t="s">
        <v>1316</v>
      </c>
      <c r="C16" s="1" t="s">
        <v>1424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33</v>
      </c>
      <c r="I16" s="1" t="s">
        <v>41</v>
      </c>
      <c r="J16" s="1">
        <v>1</v>
      </c>
      <c r="K16" s="1" t="s">
        <v>27</v>
      </c>
      <c r="L16" s="1" t="s">
        <v>1425</v>
      </c>
      <c r="M16" s="1" t="s">
        <v>29</v>
      </c>
      <c r="N16" s="1" t="s">
        <v>30</v>
      </c>
      <c r="O16" s="1" t="s">
        <v>256</v>
      </c>
      <c r="P16" s="1" t="s">
        <v>21</v>
      </c>
      <c r="Q16" s="1" t="s">
        <v>21</v>
      </c>
      <c r="R16" s="1" t="s">
        <v>21</v>
      </c>
      <c r="S16" s="1" t="s">
        <v>21</v>
      </c>
    </row>
    <row r="17" spans="1:19" x14ac:dyDescent="0.25">
      <c r="A17" s="1">
        <v>16</v>
      </c>
      <c r="B17" s="1" t="s">
        <v>1089</v>
      </c>
      <c r="C17" s="1" t="s">
        <v>1426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33</v>
      </c>
      <c r="I17" s="1" t="s">
        <v>50</v>
      </c>
      <c r="J17" s="1">
        <v>1</v>
      </c>
      <c r="K17" s="1" t="s">
        <v>27</v>
      </c>
      <c r="L17" s="1" t="s">
        <v>1427</v>
      </c>
      <c r="M17" s="1" t="s">
        <v>29</v>
      </c>
      <c r="N17" s="1" t="s">
        <v>30</v>
      </c>
      <c r="O17" s="1" t="s">
        <v>256</v>
      </c>
      <c r="P17" s="1" t="s">
        <v>21</v>
      </c>
      <c r="Q17" s="1" t="s">
        <v>21</v>
      </c>
      <c r="R17" s="1" t="s">
        <v>21</v>
      </c>
      <c r="S17" s="1" t="s">
        <v>21</v>
      </c>
    </row>
    <row r="18" spans="1:19" x14ac:dyDescent="0.25">
      <c r="A18" s="1">
        <v>17</v>
      </c>
      <c r="B18" s="1" t="s">
        <v>1250</v>
      </c>
      <c r="C18" s="1" t="s">
        <v>1428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33</v>
      </c>
      <c r="I18" s="1" t="s">
        <v>50</v>
      </c>
      <c r="J18" s="1">
        <v>1</v>
      </c>
      <c r="K18" s="1" t="s">
        <v>27</v>
      </c>
      <c r="L18" s="1" t="s">
        <v>1429</v>
      </c>
      <c r="M18" s="1" t="s">
        <v>29</v>
      </c>
      <c r="N18" s="1" t="s">
        <v>30</v>
      </c>
      <c r="O18" s="1" t="s">
        <v>256</v>
      </c>
      <c r="P18" s="1" t="s">
        <v>21</v>
      </c>
      <c r="Q18" s="1" t="s">
        <v>21</v>
      </c>
      <c r="R18" s="1" t="s">
        <v>21</v>
      </c>
      <c r="S18" s="1" t="s">
        <v>21</v>
      </c>
    </row>
    <row r="19" spans="1:19" x14ac:dyDescent="0.25">
      <c r="A19" s="1">
        <v>18</v>
      </c>
      <c r="B19" s="1" t="s">
        <v>429</v>
      </c>
      <c r="C19" s="1" t="s">
        <v>1430</v>
      </c>
      <c r="D19" s="1" t="s">
        <v>21</v>
      </c>
      <c r="E19" s="1" t="s">
        <v>22</v>
      </c>
      <c r="F19" s="1" t="s">
        <v>23</v>
      </c>
      <c r="G19" s="1" t="s">
        <v>24</v>
      </c>
      <c r="H19" s="1" t="s">
        <v>33</v>
      </c>
      <c r="I19" s="1" t="s">
        <v>50</v>
      </c>
      <c r="J19" s="1">
        <v>1</v>
      </c>
      <c r="K19" s="1" t="s">
        <v>27</v>
      </c>
      <c r="L19" s="1" t="s">
        <v>1431</v>
      </c>
      <c r="M19" s="1" t="s">
        <v>29</v>
      </c>
      <c r="N19" s="1" t="s">
        <v>30</v>
      </c>
      <c r="O19" s="1" t="s">
        <v>256</v>
      </c>
      <c r="P19" s="1" t="s">
        <v>21</v>
      </c>
      <c r="Q19" s="1" t="s">
        <v>21</v>
      </c>
      <c r="R19" s="1" t="s">
        <v>21</v>
      </c>
      <c r="S19" s="1" t="s">
        <v>21</v>
      </c>
    </row>
    <row r="20" spans="1:19" x14ac:dyDescent="0.25">
      <c r="A20" s="1">
        <v>19</v>
      </c>
      <c r="B20" s="1" t="s">
        <v>54</v>
      </c>
      <c r="C20" s="1" t="s">
        <v>1432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1480</v>
      </c>
      <c r="I20" s="1" t="s">
        <v>26</v>
      </c>
      <c r="J20" s="1">
        <v>1</v>
      </c>
      <c r="K20" s="1" t="s">
        <v>27</v>
      </c>
      <c r="L20" s="1" t="s">
        <v>1433</v>
      </c>
      <c r="M20" s="1" t="s">
        <v>29</v>
      </c>
      <c r="N20" s="1" t="s">
        <v>30</v>
      </c>
      <c r="O20" s="1" t="s">
        <v>256</v>
      </c>
      <c r="P20" s="1" t="s">
        <v>21</v>
      </c>
      <c r="Q20" s="1" t="s">
        <v>21</v>
      </c>
      <c r="R20" s="1" t="s">
        <v>21</v>
      </c>
      <c r="S20" s="1" t="s">
        <v>21</v>
      </c>
    </row>
    <row r="21" spans="1:19" x14ac:dyDescent="0.25">
      <c r="A21" s="1">
        <v>20</v>
      </c>
      <c r="B21" s="1" t="s">
        <v>54</v>
      </c>
      <c r="C21" s="1" t="s">
        <v>1434</v>
      </c>
      <c r="D21" s="1" t="s">
        <v>21</v>
      </c>
      <c r="E21" s="1" t="s">
        <v>22</v>
      </c>
      <c r="F21" s="1" t="s">
        <v>23</v>
      </c>
      <c r="G21" s="1" t="s">
        <v>24</v>
      </c>
      <c r="H21" s="1" t="s">
        <v>33</v>
      </c>
      <c r="I21" s="1" t="s">
        <v>50</v>
      </c>
      <c r="J21" s="1">
        <v>1</v>
      </c>
      <c r="K21" s="1" t="s">
        <v>27</v>
      </c>
      <c r="L21" s="1" t="s">
        <v>1435</v>
      </c>
      <c r="M21" s="1" t="s">
        <v>29</v>
      </c>
      <c r="N21" s="1" t="s">
        <v>30</v>
      </c>
      <c r="O21" s="1" t="s">
        <v>256</v>
      </c>
      <c r="P21" s="1" t="s">
        <v>21</v>
      </c>
      <c r="Q21" s="1" t="s">
        <v>21</v>
      </c>
      <c r="R21" s="1" t="s">
        <v>21</v>
      </c>
      <c r="S21" s="1" t="s">
        <v>21</v>
      </c>
    </row>
    <row r="22" spans="1:19" x14ac:dyDescent="0.25">
      <c r="A22" s="1">
        <v>21</v>
      </c>
      <c r="B22" s="1" t="s">
        <v>1172</v>
      </c>
      <c r="C22" s="1" t="s">
        <v>1436</v>
      </c>
      <c r="D22" s="1" t="s">
        <v>21</v>
      </c>
      <c r="E22" s="1" t="s">
        <v>22</v>
      </c>
      <c r="F22" s="1" t="s">
        <v>23</v>
      </c>
      <c r="G22" s="1" t="s">
        <v>24</v>
      </c>
      <c r="H22" s="1" t="s">
        <v>33</v>
      </c>
      <c r="I22" s="1" t="s">
        <v>41</v>
      </c>
      <c r="J22" s="1">
        <v>1</v>
      </c>
      <c r="K22" s="1" t="s">
        <v>27</v>
      </c>
      <c r="L22" s="1" t="s">
        <v>1437</v>
      </c>
      <c r="M22" s="1" t="s">
        <v>79</v>
      </c>
      <c r="N22" s="1" t="s">
        <v>30</v>
      </c>
      <c r="O22" s="1" t="s">
        <v>232</v>
      </c>
      <c r="P22" s="1" t="s">
        <v>284</v>
      </c>
      <c r="Q22" s="1" t="s">
        <v>21</v>
      </c>
      <c r="R22" s="1" t="s">
        <v>21</v>
      </c>
      <c r="S22" s="1" t="s">
        <v>21</v>
      </c>
    </row>
    <row r="23" spans="1:19" x14ac:dyDescent="0.25">
      <c r="A23" s="1">
        <v>22</v>
      </c>
      <c r="B23" s="1" t="s">
        <v>387</v>
      </c>
      <c r="C23" s="1" t="s">
        <v>1438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33</v>
      </c>
      <c r="I23" s="1" t="s">
        <v>41</v>
      </c>
      <c r="J23" s="1">
        <v>2</v>
      </c>
      <c r="K23" s="1" t="s">
        <v>27</v>
      </c>
      <c r="L23" s="1" t="s">
        <v>1439</v>
      </c>
      <c r="M23" s="1" t="s">
        <v>79</v>
      </c>
      <c r="N23" s="1" t="s">
        <v>30</v>
      </c>
      <c r="O23" s="1" t="s">
        <v>232</v>
      </c>
      <c r="P23" s="1" t="s">
        <v>284</v>
      </c>
      <c r="Q23" s="1" t="s">
        <v>21</v>
      </c>
      <c r="R23" s="1" t="s">
        <v>21</v>
      </c>
      <c r="S23" s="1" t="s">
        <v>21</v>
      </c>
    </row>
    <row r="24" spans="1:19" x14ac:dyDescent="0.25">
      <c r="A24" s="1">
        <v>23</v>
      </c>
      <c r="B24" s="1" t="s">
        <v>227</v>
      </c>
      <c r="C24" s="1" t="s">
        <v>235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33</v>
      </c>
      <c r="I24" s="1" t="s">
        <v>41</v>
      </c>
      <c r="J24" s="1">
        <v>1</v>
      </c>
      <c r="K24" s="1" t="s">
        <v>27</v>
      </c>
      <c r="L24" s="1" t="s">
        <v>236</v>
      </c>
      <c r="M24" s="1" t="s">
        <v>79</v>
      </c>
      <c r="N24" s="1" t="s">
        <v>30</v>
      </c>
      <c r="O24" s="1" t="s">
        <v>232</v>
      </c>
      <c r="P24" s="1" t="s">
        <v>284</v>
      </c>
      <c r="Q24" s="1" t="s">
        <v>21</v>
      </c>
      <c r="R24" s="1" t="s">
        <v>21</v>
      </c>
      <c r="S24" s="1" t="s">
        <v>21</v>
      </c>
    </row>
    <row r="25" spans="1:19" x14ac:dyDescent="0.25">
      <c r="A25" s="1">
        <v>24</v>
      </c>
      <c r="B25" s="1" t="s">
        <v>230</v>
      </c>
      <c r="C25" s="1" t="s">
        <v>237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1474</v>
      </c>
      <c r="I25" s="1" t="s">
        <v>238</v>
      </c>
      <c r="J25" s="1">
        <v>1</v>
      </c>
      <c r="K25" s="1" t="s">
        <v>27</v>
      </c>
      <c r="L25" s="1" t="s">
        <v>239</v>
      </c>
      <c r="M25" s="1" t="s">
        <v>29</v>
      </c>
      <c r="N25" s="1" t="s">
        <v>30</v>
      </c>
      <c r="O25" s="1" t="s">
        <v>256</v>
      </c>
      <c r="P25" s="1" t="s">
        <v>21</v>
      </c>
      <c r="Q25" s="1" t="s">
        <v>21</v>
      </c>
      <c r="R25" s="1" t="s">
        <v>21</v>
      </c>
      <c r="S25" s="1" t="s">
        <v>21</v>
      </c>
    </row>
    <row r="26" spans="1:19" x14ac:dyDescent="0.25">
      <c r="A26" s="1">
        <v>25</v>
      </c>
      <c r="B26" s="1" t="s">
        <v>224</v>
      </c>
      <c r="C26" s="1" t="s">
        <v>240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1474</v>
      </c>
      <c r="I26" s="1" t="s">
        <v>238</v>
      </c>
      <c r="J26" s="1">
        <v>1</v>
      </c>
      <c r="K26" s="1" t="s">
        <v>27</v>
      </c>
      <c r="L26" s="1" t="s">
        <v>241</v>
      </c>
      <c r="M26" s="1" t="s">
        <v>29</v>
      </c>
      <c r="N26" s="1" t="s">
        <v>30</v>
      </c>
      <c r="O26" s="1" t="s">
        <v>256</v>
      </c>
      <c r="P26" s="1" t="s">
        <v>21</v>
      </c>
      <c r="Q26" s="1" t="s">
        <v>21</v>
      </c>
      <c r="R26" s="1" t="s">
        <v>21</v>
      </c>
      <c r="S26" s="1" t="s">
        <v>21</v>
      </c>
    </row>
    <row r="27" spans="1:19" x14ac:dyDescent="0.25">
      <c r="A27" s="1">
        <v>26</v>
      </c>
      <c r="B27" s="1" t="s">
        <v>228</v>
      </c>
      <c r="C27" s="1" t="s">
        <v>242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1474</v>
      </c>
      <c r="I27" s="1" t="s">
        <v>238</v>
      </c>
      <c r="J27" s="1">
        <v>1</v>
      </c>
      <c r="K27" s="1" t="s">
        <v>27</v>
      </c>
      <c r="L27" s="1" t="s">
        <v>243</v>
      </c>
      <c r="M27" s="1" t="s">
        <v>29</v>
      </c>
      <c r="N27" s="1" t="s">
        <v>30</v>
      </c>
      <c r="O27" s="1" t="s">
        <v>256</v>
      </c>
      <c r="P27" s="1" t="s">
        <v>21</v>
      </c>
      <c r="Q27" s="1" t="s">
        <v>21</v>
      </c>
      <c r="R27" s="1" t="s">
        <v>21</v>
      </c>
      <c r="S27" s="1" t="s">
        <v>21</v>
      </c>
    </row>
    <row r="28" spans="1:19" x14ac:dyDescent="0.25">
      <c r="A28" s="1">
        <v>27</v>
      </c>
      <c r="B28" s="1" t="s">
        <v>231</v>
      </c>
      <c r="C28" s="1" t="s">
        <v>244</v>
      </c>
      <c r="D28" s="1" t="s">
        <v>21</v>
      </c>
      <c r="E28" s="1" t="s">
        <v>22</v>
      </c>
      <c r="F28" s="1" t="s">
        <v>23</v>
      </c>
      <c r="G28" s="1" t="s">
        <v>24</v>
      </c>
      <c r="H28" s="1" t="s">
        <v>1474</v>
      </c>
      <c r="I28" s="1" t="s">
        <v>208</v>
      </c>
      <c r="J28" s="1">
        <v>1</v>
      </c>
      <c r="K28" s="1" t="s">
        <v>27</v>
      </c>
      <c r="L28" s="1" t="s">
        <v>245</v>
      </c>
      <c r="M28" s="1" t="s">
        <v>79</v>
      </c>
      <c r="N28" s="1" t="s">
        <v>30</v>
      </c>
      <c r="O28" s="1" t="s">
        <v>232</v>
      </c>
      <c r="P28" s="1" t="s">
        <v>284</v>
      </c>
      <c r="Q28" s="1" t="s">
        <v>21</v>
      </c>
      <c r="R28" s="1" t="s">
        <v>21</v>
      </c>
      <c r="S28" s="1" t="s">
        <v>21</v>
      </c>
    </row>
    <row r="29" spans="1:19" x14ac:dyDescent="0.25">
      <c r="A29" s="1">
        <v>28</v>
      </c>
      <c r="B29" s="1" t="s">
        <v>64</v>
      </c>
      <c r="C29" s="1" t="s">
        <v>246</v>
      </c>
      <c r="D29" s="1" t="s">
        <v>21</v>
      </c>
      <c r="E29" s="1" t="s">
        <v>22</v>
      </c>
      <c r="F29" s="1" t="s">
        <v>23</v>
      </c>
      <c r="G29" s="1" t="s">
        <v>24</v>
      </c>
      <c r="H29" s="1" t="s">
        <v>33</v>
      </c>
      <c r="I29" s="1" t="s">
        <v>41</v>
      </c>
      <c r="J29" s="1">
        <v>1</v>
      </c>
      <c r="K29" s="1" t="s">
        <v>27</v>
      </c>
      <c r="L29" s="1" t="s">
        <v>247</v>
      </c>
      <c r="M29" s="1" t="s">
        <v>29</v>
      </c>
      <c r="N29" s="1" t="s">
        <v>233</v>
      </c>
      <c r="O29" s="1" t="s">
        <v>234</v>
      </c>
      <c r="P29" s="1" t="s">
        <v>21</v>
      </c>
      <c r="Q29" s="1" t="s">
        <v>21</v>
      </c>
      <c r="R29" s="1" t="s">
        <v>248</v>
      </c>
      <c r="S29" s="1" t="s">
        <v>21</v>
      </c>
    </row>
    <row r="30" spans="1:19" x14ac:dyDescent="0.25">
      <c r="A30" s="1">
        <v>29</v>
      </c>
      <c r="B30" s="1" t="s">
        <v>61</v>
      </c>
      <c r="C30" s="1" t="s">
        <v>249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33</v>
      </c>
      <c r="I30" s="1" t="s">
        <v>41</v>
      </c>
      <c r="J30" s="1">
        <v>3</v>
      </c>
      <c r="K30" s="1" t="s">
        <v>27</v>
      </c>
      <c r="L30" s="1" t="s">
        <v>250</v>
      </c>
      <c r="M30" s="1" t="s">
        <v>29</v>
      </c>
      <c r="N30" s="1" t="s">
        <v>233</v>
      </c>
      <c r="O30" s="1" t="s">
        <v>234</v>
      </c>
      <c r="P30" s="1" t="s">
        <v>21</v>
      </c>
      <c r="Q30" s="1" t="s">
        <v>21</v>
      </c>
      <c r="R30" s="1" t="s">
        <v>251</v>
      </c>
      <c r="S30" s="1" t="s">
        <v>21</v>
      </c>
    </row>
    <row r="31" spans="1:19" x14ac:dyDescent="0.25">
      <c r="A31" s="1">
        <v>30</v>
      </c>
      <c r="B31" s="1" t="s">
        <v>229</v>
      </c>
      <c r="C31" s="1" t="s">
        <v>252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1474</v>
      </c>
      <c r="I31" s="1" t="s">
        <v>208</v>
      </c>
      <c r="J31" s="1">
        <v>1</v>
      </c>
      <c r="K31" s="1" t="s">
        <v>27</v>
      </c>
      <c r="L31" s="1" t="s">
        <v>253</v>
      </c>
      <c r="M31" s="1" t="s">
        <v>79</v>
      </c>
      <c r="N31" s="1" t="s">
        <v>30</v>
      </c>
      <c r="O31" s="1" t="s">
        <v>232</v>
      </c>
      <c r="P31" s="1" t="s">
        <v>284</v>
      </c>
      <c r="Q31" s="1" t="s">
        <v>21</v>
      </c>
      <c r="R31" s="1" t="s">
        <v>21</v>
      </c>
      <c r="S31" s="1" t="s">
        <v>21</v>
      </c>
    </row>
    <row r="32" spans="1:19" x14ac:dyDescent="0.25">
      <c r="A32" s="1">
        <v>31</v>
      </c>
      <c r="B32" s="1" t="s">
        <v>226</v>
      </c>
      <c r="C32" s="1" t="s">
        <v>254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33</v>
      </c>
      <c r="I32" s="1" t="s">
        <v>50</v>
      </c>
      <c r="J32" s="1">
        <v>1</v>
      </c>
      <c r="K32" s="1" t="s">
        <v>27</v>
      </c>
      <c r="L32" s="1" t="s">
        <v>255</v>
      </c>
      <c r="M32" s="1" t="s">
        <v>29</v>
      </c>
      <c r="N32" s="1" t="s">
        <v>30</v>
      </c>
      <c r="O32" s="1" t="s">
        <v>256</v>
      </c>
      <c r="P32" s="1" t="s">
        <v>21</v>
      </c>
      <c r="Q32" s="1" t="s">
        <v>21</v>
      </c>
      <c r="R32" s="1" t="s">
        <v>21</v>
      </c>
      <c r="S32" s="1" t="s">
        <v>21</v>
      </c>
    </row>
    <row r="33" spans="1:19" x14ac:dyDescent="0.25">
      <c r="A33" s="1">
        <v>32</v>
      </c>
      <c r="B33" s="1" t="s">
        <v>225</v>
      </c>
      <c r="C33" s="1" t="s">
        <v>257</v>
      </c>
      <c r="D33" s="1" t="s">
        <v>21</v>
      </c>
      <c r="E33" s="1" t="s">
        <v>22</v>
      </c>
      <c r="F33" s="1" t="s">
        <v>23</v>
      </c>
      <c r="G33" s="1" t="s">
        <v>24</v>
      </c>
      <c r="H33" s="1" t="s">
        <v>33</v>
      </c>
      <c r="I33" s="1" t="s">
        <v>50</v>
      </c>
      <c r="J33" s="1">
        <v>1</v>
      </c>
      <c r="K33" s="1" t="s">
        <v>27</v>
      </c>
      <c r="L33" s="1" t="s">
        <v>258</v>
      </c>
      <c r="M33" s="1" t="s">
        <v>79</v>
      </c>
      <c r="N33" s="1" t="s">
        <v>30</v>
      </c>
      <c r="O33" s="1" t="s">
        <v>232</v>
      </c>
      <c r="P33" s="1" t="s">
        <v>284</v>
      </c>
      <c r="Q33" s="1" t="s">
        <v>21</v>
      </c>
      <c r="R33" s="1" t="s">
        <v>21</v>
      </c>
      <c r="S33" s="1" t="s">
        <v>21</v>
      </c>
    </row>
    <row r="34" spans="1:19" x14ac:dyDescent="0.25">
      <c r="A34" s="1">
        <v>33</v>
      </c>
      <c r="B34" s="1" t="s">
        <v>212</v>
      </c>
      <c r="C34" s="1" t="s">
        <v>259</v>
      </c>
      <c r="D34" s="1" t="s">
        <v>21</v>
      </c>
      <c r="E34" s="1" t="s">
        <v>22</v>
      </c>
      <c r="F34" s="1" t="s">
        <v>23</v>
      </c>
      <c r="G34" s="1" t="s">
        <v>24</v>
      </c>
      <c r="H34" s="1" t="s">
        <v>33</v>
      </c>
      <c r="I34" s="1" t="s">
        <v>41</v>
      </c>
      <c r="J34" s="1">
        <v>1</v>
      </c>
      <c r="K34" s="1" t="s">
        <v>27</v>
      </c>
      <c r="L34" s="1" t="s">
        <v>260</v>
      </c>
      <c r="M34" s="1" t="s">
        <v>29</v>
      </c>
      <c r="N34" s="1" t="s">
        <v>261</v>
      </c>
      <c r="O34" s="1" t="s">
        <v>262</v>
      </c>
      <c r="P34" s="1" t="s">
        <v>21</v>
      </c>
      <c r="Q34" s="1" t="s">
        <v>21</v>
      </c>
      <c r="R34" s="1" t="s">
        <v>263</v>
      </c>
      <c r="S34" s="1" t="s">
        <v>264</v>
      </c>
    </row>
    <row r="35" spans="1:19" x14ac:dyDescent="0.25">
      <c r="A35" s="1">
        <v>34</v>
      </c>
      <c r="B35" s="1" t="s">
        <v>140</v>
      </c>
      <c r="C35" s="1" t="s">
        <v>265</v>
      </c>
      <c r="D35" s="1" t="s">
        <v>21</v>
      </c>
      <c r="E35" s="1" t="s">
        <v>22</v>
      </c>
      <c r="F35" s="1" t="s">
        <v>23</v>
      </c>
      <c r="G35" s="1" t="s">
        <v>24</v>
      </c>
      <c r="H35" s="1" t="s">
        <v>33</v>
      </c>
      <c r="I35" s="1" t="s">
        <v>50</v>
      </c>
      <c r="J35" s="1">
        <v>1</v>
      </c>
      <c r="K35" s="1" t="s">
        <v>27</v>
      </c>
      <c r="L35" s="1" t="s">
        <v>266</v>
      </c>
      <c r="M35" s="1" t="s">
        <v>79</v>
      </c>
      <c r="N35" s="1" t="s">
        <v>30</v>
      </c>
      <c r="O35" s="1" t="s">
        <v>232</v>
      </c>
      <c r="P35" s="1" t="s">
        <v>284</v>
      </c>
      <c r="Q35" s="1" t="s">
        <v>21</v>
      </c>
      <c r="R35" s="1" t="s">
        <v>21</v>
      </c>
      <c r="S35" s="1" t="s">
        <v>21</v>
      </c>
    </row>
    <row r="36" spans="1:19" x14ac:dyDescent="0.25">
      <c r="A36" s="1">
        <v>35</v>
      </c>
      <c r="B36" s="1" t="s">
        <v>187</v>
      </c>
      <c r="C36" s="1" t="s">
        <v>267</v>
      </c>
      <c r="D36" s="1" t="s">
        <v>21</v>
      </c>
      <c r="E36" s="1" t="s">
        <v>22</v>
      </c>
      <c r="F36" s="1" t="s">
        <v>23</v>
      </c>
      <c r="G36" s="1" t="s">
        <v>24</v>
      </c>
      <c r="H36" s="1" t="s">
        <v>33</v>
      </c>
      <c r="I36" s="1" t="s">
        <v>50</v>
      </c>
      <c r="J36" s="1">
        <v>1</v>
      </c>
      <c r="K36" s="1" t="s">
        <v>27</v>
      </c>
      <c r="L36" s="1" t="s">
        <v>268</v>
      </c>
      <c r="M36" s="1" t="s">
        <v>79</v>
      </c>
      <c r="N36" s="1" t="s">
        <v>30</v>
      </c>
      <c r="O36" s="1" t="s">
        <v>232</v>
      </c>
      <c r="P36" s="1" t="s">
        <v>284</v>
      </c>
      <c r="Q36" s="1" t="s">
        <v>21</v>
      </c>
      <c r="R36" s="1" t="s">
        <v>21</v>
      </c>
      <c r="S36" s="1" t="s">
        <v>21</v>
      </c>
    </row>
    <row r="37" spans="1:19" x14ac:dyDescent="0.25">
      <c r="A37" s="1">
        <v>36</v>
      </c>
      <c r="B37" s="1" t="s">
        <v>223</v>
      </c>
      <c r="C37" s="1" t="s">
        <v>269</v>
      </c>
      <c r="D37" s="1" t="s">
        <v>21</v>
      </c>
      <c r="E37" s="1" t="s">
        <v>22</v>
      </c>
      <c r="F37" s="1" t="s">
        <v>23</v>
      </c>
      <c r="G37" s="1" t="s">
        <v>24</v>
      </c>
      <c r="H37" s="1" t="s">
        <v>33</v>
      </c>
      <c r="I37" s="1" t="s">
        <v>50</v>
      </c>
      <c r="J37" s="1">
        <v>1</v>
      </c>
      <c r="K37" s="1" t="s">
        <v>27</v>
      </c>
      <c r="L37" s="1" t="s">
        <v>270</v>
      </c>
      <c r="M37" s="1" t="s">
        <v>79</v>
      </c>
      <c r="N37" s="1" t="s">
        <v>30</v>
      </c>
      <c r="O37" s="1" t="s">
        <v>232</v>
      </c>
      <c r="P37" s="1" t="s">
        <v>284</v>
      </c>
      <c r="Q37" s="1" t="s">
        <v>21</v>
      </c>
      <c r="R37" s="1" t="s">
        <v>21</v>
      </c>
      <c r="S37" s="1" t="s">
        <v>21</v>
      </c>
    </row>
    <row r="38" spans="1:19" x14ac:dyDescent="0.25">
      <c r="A38" s="1">
        <v>37</v>
      </c>
      <c r="B38" s="1" t="s">
        <v>226</v>
      </c>
      <c r="C38" s="1" t="s">
        <v>271</v>
      </c>
      <c r="D38" s="1" t="s">
        <v>21</v>
      </c>
      <c r="E38" s="1" t="s">
        <v>22</v>
      </c>
      <c r="F38" s="1" t="s">
        <v>23</v>
      </c>
      <c r="G38" s="1" t="s">
        <v>24</v>
      </c>
      <c r="H38" s="1" t="s">
        <v>33</v>
      </c>
      <c r="I38" s="1" t="s">
        <v>197</v>
      </c>
      <c r="J38" s="1">
        <v>1</v>
      </c>
      <c r="K38" s="1" t="s">
        <v>27</v>
      </c>
      <c r="L38" s="1" t="s">
        <v>272</v>
      </c>
      <c r="M38" s="1" t="s">
        <v>29</v>
      </c>
      <c r="N38" s="1" t="s">
        <v>30</v>
      </c>
      <c r="O38" s="1" t="s">
        <v>256</v>
      </c>
      <c r="P38" s="1" t="s">
        <v>21</v>
      </c>
      <c r="Q38" s="1" t="s">
        <v>21</v>
      </c>
      <c r="R38" s="1" t="s">
        <v>21</v>
      </c>
      <c r="S38" s="1" t="s">
        <v>21</v>
      </c>
    </row>
    <row r="39" spans="1:19" x14ac:dyDescent="0.25">
      <c r="A39" s="1">
        <v>38</v>
      </c>
      <c r="B39" s="1" t="s">
        <v>206</v>
      </c>
      <c r="C39" s="1" t="s">
        <v>273</v>
      </c>
      <c r="D39" s="1" t="s">
        <v>21</v>
      </c>
      <c r="E39" s="1" t="s">
        <v>22</v>
      </c>
      <c r="F39" s="1" t="s">
        <v>23</v>
      </c>
      <c r="G39" s="1" t="s">
        <v>24</v>
      </c>
      <c r="H39" s="1" t="s">
        <v>33</v>
      </c>
      <c r="I39" s="1" t="s">
        <v>50</v>
      </c>
      <c r="J39" s="1">
        <v>1</v>
      </c>
      <c r="K39" s="1" t="s">
        <v>27</v>
      </c>
      <c r="L39" s="1" t="s">
        <v>274</v>
      </c>
      <c r="M39" s="1" t="s">
        <v>29</v>
      </c>
      <c r="N39" s="1" t="s">
        <v>30</v>
      </c>
      <c r="O39" s="1" t="s">
        <v>256</v>
      </c>
      <c r="P39" s="1" t="s">
        <v>21</v>
      </c>
      <c r="Q39" s="1" t="s">
        <v>21</v>
      </c>
      <c r="R39" s="1" t="s">
        <v>21</v>
      </c>
      <c r="S39" s="1" t="s">
        <v>21</v>
      </c>
    </row>
    <row r="40" spans="1:19" x14ac:dyDescent="0.25">
      <c r="A40" s="1">
        <v>39</v>
      </c>
      <c r="B40" s="1" t="s">
        <v>222</v>
      </c>
      <c r="C40" s="1" t="s">
        <v>275</v>
      </c>
      <c r="D40" s="1" t="s">
        <v>21</v>
      </c>
      <c r="E40" s="1" t="s">
        <v>22</v>
      </c>
      <c r="F40" s="1" t="s">
        <v>23</v>
      </c>
      <c r="G40" s="1" t="s">
        <v>24</v>
      </c>
      <c r="H40" s="1" t="s">
        <v>33</v>
      </c>
      <c r="I40" s="1" t="s">
        <v>197</v>
      </c>
      <c r="J40" s="1">
        <v>1</v>
      </c>
      <c r="K40" s="1" t="s">
        <v>27</v>
      </c>
      <c r="L40" s="1" t="s">
        <v>276</v>
      </c>
      <c r="M40" s="1" t="s">
        <v>79</v>
      </c>
      <c r="N40" s="1" t="s">
        <v>30</v>
      </c>
      <c r="O40" s="1" t="s">
        <v>232</v>
      </c>
      <c r="P40" s="1" t="s">
        <v>284</v>
      </c>
      <c r="Q40" s="1" t="s">
        <v>21</v>
      </c>
      <c r="R40" s="1" t="s">
        <v>21</v>
      </c>
      <c r="S40" s="1" t="s">
        <v>21</v>
      </c>
    </row>
    <row r="41" spans="1:19" x14ac:dyDescent="0.25">
      <c r="A41" s="1">
        <v>40</v>
      </c>
      <c r="B41" s="1" t="s">
        <v>48</v>
      </c>
      <c r="C41" s="1" t="s">
        <v>277</v>
      </c>
      <c r="D41" s="1" t="s">
        <v>21</v>
      </c>
      <c r="E41" s="1" t="s">
        <v>22</v>
      </c>
      <c r="F41" s="1" t="s">
        <v>23</v>
      </c>
      <c r="G41" s="1" t="s">
        <v>24</v>
      </c>
      <c r="H41" s="1" t="s">
        <v>33</v>
      </c>
      <c r="I41" s="1" t="s">
        <v>41</v>
      </c>
      <c r="J41" s="1">
        <v>2</v>
      </c>
      <c r="K41" s="1" t="s">
        <v>27</v>
      </c>
      <c r="L41" s="1" t="s">
        <v>278</v>
      </c>
      <c r="M41" s="1" t="s">
        <v>29</v>
      </c>
      <c r="N41" s="1" t="s">
        <v>261</v>
      </c>
      <c r="O41" s="1" t="s">
        <v>262</v>
      </c>
      <c r="P41" s="1" t="s">
        <v>21</v>
      </c>
      <c r="Q41" s="1" t="s">
        <v>21</v>
      </c>
      <c r="R41" s="1" t="s">
        <v>21</v>
      </c>
      <c r="S41" s="1" t="s">
        <v>279</v>
      </c>
    </row>
    <row r="42" spans="1:19" x14ac:dyDescent="0.25">
      <c r="A42" s="1">
        <v>41</v>
      </c>
      <c r="B42" s="1" t="s">
        <v>58</v>
      </c>
      <c r="C42" s="1" t="s">
        <v>282</v>
      </c>
      <c r="D42" s="1" t="s">
        <v>21</v>
      </c>
      <c r="E42" s="1" t="s">
        <v>22</v>
      </c>
      <c r="F42" s="1" t="s">
        <v>23</v>
      </c>
      <c r="G42" s="1" t="s">
        <v>24</v>
      </c>
      <c r="H42" s="1" t="s">
        <v>33</v>
      </c>
      <c r="I42" s="1" t="s">
        <v>41</v>
      </c>
      <c r="J42" s="1">
        <v>2</v>
      </c>
      <c r="K42" s="1" t="s">
        <v>27</v>
      </c>
      <c r="L42" s="1" t="s">
        <v>283</v>
      </c>
      <c r="M42" s="1" t="s">
        <v>79</v>
      </c>
      <c r="N42" s="1" t="s">
        <v>30</v>
      </c>
      <c r="O42" s="1" t="s">
        <v>232</v>
      </c>
      <c r="P42" s="1" t="s">
        <v>284</v>
      </c>
      <c r="Q42" s="1" t="s">
        <v>21</v>
      </c>
      <c r="R42" s="1" t="s">
        <v>21</v>
      </c>
      <c r="S42" s="1" t="s">
        <v>21</v>
      </c>
    </row>
    <row r="43" spans="1:19" x14ac:dyDescent="0.25">
      <c r="A43" s="1">
        <v>42</v>
      </c>
      <c r="B43" s="1" t="s">
        <v>201</v>
      </c>
      <c r="C43" s="1" t="s">
        <v>280</v>
      </c>
      <c r="D43" s="1" t="s">
        <v>21</v>
      </c>
      <c r="E43" s="1" t="s">
        <v>22</v>
      </c>
      <c r="F43" s="1" t="s">
        <v>23</v>
      </c>
      <c r="G43" s="1" t="s">
        <v>24</v>
      </c>
      <c r="H43" s="1" t="s">
        <v>33</v>
      </c>
      <c r="I43" s="1" t="s">
        <v>50</v>
      </c>
      <c r="J43" s="1">
        <v>1</v>
      </c>
      <c r="K43" s="1" t="s">
        <v>27</v>
      </c>
      <c r="L43" s="1" t="s">
        <v>281</v>
      </c>
      <c r="M43" s="1" t="s">
        <v>79</v>
      </c>
      <c r="N43" s="1" t="s">
        <v>30</v>
      </c>
      <c r="O43" s="1" t="s">
        <v>232</v>
      </c>
      <c r="P43" s="1" t="s">
        <v>284</v>
      </c>
      <c r="Q43" s="1" t="s">
        <v>21</v>
      </c>
      <c r="R43" s="1" t="s">
        <v>21</v>
      </c>
      <c r="S43" s="1" t="s">
        <v>21</v>
      </c>
    </row>
    <row r="44" spans="1:19" x14ac:dyDescent="0.25">
      <c r="A44" s="1">
        <v>43</v>
      </c>
      <c r="B44" s="1" t="s">
        <v>195</v>
      </c>
      <c r="C44" s="1" t="s">
        <v>196</v>
      </c>
      <c r="D44" s="1" t="s">
        <v>21</v>
      </c>
      <c r="E44" s="1" t="s">
        <v>22</v>
      </c>
      <c r="F44" s="1" t="s">
        <v>23</v>
      </c>
      <c r="G44" s="1" t="s">
        <v>24</v>
      </c>
      <c r="H44" s="1" t="s">
        <v>33</v>
      </c>
      <c r="I44" s="1" t="s">
        <v>197</v>
      </c>
      <c r="J44" s="1">
        <v>1</v>
      </c>
      <c r="K44" s="1" t="s">
        <v>27</v>
      </c>
      <c r="L44" s="1" t="s">
        <v>198</v>
      </c>
      <c r="M44" s="1" t="s">
        <v>29</v>
      </c>
      <c r="N44" s="1" t="s">
        <v>233</v>
      </c>
      <c r="O44" s="1" t="s">
        <v>234</v>
      </c>
      <c r="P44" s="1" t="s">
        <v>21</v>
      </c>
      <c r="Q44" s="1" t="s">
        <v>21</v>
      </c>
      <c r="R44" s="1" t="s">
        <v>291</v>
      </c>
      <c r="S44" s="1" t="s">
        <v>21</v>
      </c>
    </row>
    <row r="45" spans="1:19" x14ac:dyDescent="0.25">
      <c r="A45" s="1">
        <v>44</v>
      </c>
      <c r="B45" s="1" t="s">
        <v>58</v>
      </c>
      <c r="C45" s="1" t="s">
        <v>199</v>
      </c>
      <c r="D45" s="1" t="s">
        <v>21</v>
      </c>
      <c r="E45" s="1" t="s">
        <v>22</v>
      </c>
      <c r="F45" s="1" t="s">
        <v>23</v>
      </c>
      <c r="G45" s="1" t="s">
        <v>24</v>
      </c>
      <c r="H45" s="1" t="s">
        <v>33</v>
      </c>
      <c r="I45" s="1" t="s">
        <v>41</v>
      </c>
      <c r="J45" s="1">
        <v>2</v>
      </c>
      <c r="K45" s="1" t="s">
        <v>27</v>
      </c>
      <c r="L45" s="1" t="s">
        <v>200</v>
      </c>
      <c r="M45" s="1" t="s">
        <v>29</v>
      </c>
      <c r="N45" s="1" t="s">
        <v>233</v>
      </c>
      <c r="O45" s="1" t="s">
        <v>234</v>
      </c>
      <c r="P45" s="1" t="s">
        <v>21</v>
      </c>
      <c r="Q45" s="1" t="s">
        <v>21</v>
      </c>
      <c r="R45" s="1" t="s">
        <v>290</v>
      </c>
      <c r="S45" s="1" t="s">
        <v>21</v>
      </c>
    </row>
    <row r="46" spans="1:19" x14ac:dyDescent="0.25">
      <c r="A46" s="1">
        <v>45</v>
      </c>
      <c r="B46" s="1" t="s">
        <v>201</v>
      </c>
      <c r="C46" s="1" t="s">
        <v>202</v>
      </c>
      <c r="D46" s="1" t="s">
        <v>21</v>
      </c>
      <c r="E46" s="1" t="s">
        <v>22</v>
      </c>
      <c r="F46" s="1" t="s">
        <v>23</v>
      </c>
      <c r="G46" s="1" t="s">
        <v>24</v>
      </c>
      <c r="H46" s="1" t="s">
        <v>33</v>
      </c>
      <c r="I46" s="1" t="s">
        <v>197</v>
      </c>
      <c r="J46" s="1">
        <v>1</v>
      </c>
      <c r="K46" s="1" t="s">
        <v>27</v>
      </c>
      <c r="L46" s="1" t="s">
        <v>203</v>
      </c>
      <c r="M46" s="1" t="s">
        <v>79</v>
      </c>
      <c r="N46" s="1" t="s">
        <v>30</v>
      </c>
      <c r="O46" s="1" t="s">
        <v>232</v>
      </c>
      <c r="P46" s="1" t="s">
        <v>284</v>
      </c>
      <c r="Q46" s="1" t="s">
        <v>21</v>
      </c>
      <c r="R46" s="1" t="s">
        <v>21</v>
      </c>
      <c r="S46" s="1" t="s">
        <v>21</v>
      </c>
    </row>
    <row r="47" spans="1:19" x14ac:dyDescent="0.25">
      <c r="A47" s="1">
        <v>46</v>
      </c>
      <c r="B47" s="1" t="s">
        <v>95</v>
      </c>
      <c r="C47" s="1" t="s">
        <v>204</v>
      </c>
      <c r="D47" s="1" t="s">
        <v>21</v>
      </c>
      <c r="E47" s="1" t="s">
        <v>22</v>
      </c>
      <c r="F47" s="1" t="s">
        <v>23</v>
      </c>
      <c r="G47" s="1" t="s">
        <v>24</v>
      </c>
      <c r="H47" s="1" t="s">
        <v>33</v>
      </c>
      <c r="I47" s="1" t="s">
        <v>50</v>
      </c>
      <c r="J47" s="1">
        <v>1</v>
      </c>
      <c r="K47" s="1" t="s">
        <v>27</v>
      </c>
      <c r="L47" s="1" t="s">
        <v>205</v>
      </c>
      <c r="M47" s="1" t="s">
        <v>79</v>
      </c>
      <c r="N47" s="1" t="s">
        <v>30</v>
      </c>
      <c r="O47" s="1" t="s">
        <v>232</v>
      </c>
      <c r="P47" s="1" t="s">
        <v>284</v>
      </c>
      <c r="Q47" s="1" t="s">
        <v>21</v>
      </c>
      <c r="R47" s="1" t="s">
        <v>21</v>
      </c>
      <c r="S47" s="1" t="s">
        <v>21</v>
      </c>
    </row>
    <row r="48" spans="1:19" x14ac:dyDescent="0.25">
      <c r="A48" s="1">
        <v>47</v>
      </c>
      <c r="B48" s="1" t="s">
        <v>206</v>
      </c>
      <c r="C48" s="1" t="s">
        <v>207</v>
      </c>
      <c r="D48" s="1" t="s">
        <v>21</v>
      </c>
      <c r="E48" s="1" t="s">
        <v>22</v>
      </c>
      <c r="F48" s="1" t="s">
        <v>23</v>
      </c>
      <c r="G48" s="1" t="s">
        <v>24</v>
      </c>
      <c r="H48" s="1" t="s">
        <v>1474</v>
      </c>
      <c r="I48" s="1" t="s">
        <v>208</v>
      </c>
      <c r="J48" s="1">
        <v>1</v>
      </c>
      <c r="K48" s="1" t="s">
        <v>27</v>
      </c>
      <c r="L48" s="1" t="s">
        <v>209</v>
      </c>
      <c r="M48" s="1" t="s">
        <v>29</v>
      </c>
      <c r="N48" s="1" t="s">
        <v>233</v>
      </c>
      <c r="O48" s="1" t="s">
        <v>234</v>
      </c>
      <c r="P48" s="1" t="s">
        <v>21</v>
      </c>
      <c r="Q48" s="1" t="s">
        <v>21</v>
      </c>
      <c r="R48" s="1" t="s">
        <v>1440</v>
      </c>
      <c r="S48" s="1" t="s">
        <v>21</v>
      </c>
    </row>
    <row r="49" spans="1:19" x14ac:dyDescent="0.25">
      <c r="A49" s="1">
        <v>48</v>
      </c>
      <c r="B49" s="1" t="s">
        <v>95</v>
      </c>
      <c r="C49" s="1" t="s">
        <v>210</v>
      </c>
      <c r="D49" s="1" t="s">
        <v>21</v>
      </c>
      <c r="E49" s="1" t="s">
        <v>22</v>
      </c>
      <c r="F49" s="1" t="s">
        <v>23</v>
      </c>
      <c r="G49" s="1" t="s">
        <v>24</v>
      </c>
      <c r="H49" s="1" t="s">
        <v>33</v>
      </c>
      <c r="I49" s="1" t="s">
        <v>41</v>
      </c>
      <c r="J49" s="1">
        <v>2</v>
      </c>
      <c r="K49" s="1" t="s">
        <v>27</v>
      </c>
      <c r="L49" s="1" t="s">
        <v>211</v>
      </c>
      <c r="M49" s="1" t="s">
        <v>79</v>
      </c>
      <c r="N49" s="1" t="s">
        <v>30</v>
      </c>
      <c r="O49" s="1" t="s">
        <v>232</v>
      </c>
      <c r="P49" s="1" t="s">
        <v>284</v>
      </c>
      <c r="Q49" s="1" t="s">
        <v>21</v>
      </c>
      <c r="R49" s="1" t="s">
        <v>21</v>
      </c>
      <c r="S49" s="1" t="s">
        <v>21</v>
      </c>
    </row>
    <row r="50" spans="1:19" x14ac:dyDescent="0.25">
      <c r="A50" s="1">
        <v>49</v>
      </c>
      <c r="B50" s="1" t="s">
        <v>212</v>
      </c>
      <c r="C50" s="1" t="s">
        <v>213</v>
      </c>
      <c r="D50" s="1" t="s">
        <v>21</v>
      </c>
      <c r="E50" s="1" t="s">
        <v>22</v>
      </c>
      <c r="F50" s="1" t="s">
        <v>23</v>
      </c>
      <c r="G50" s="1" t="s">
        <v>24</v>
      </c>
      <c r="H50" s="1" t="s">
        <v>33</v>
      </c>
      <c r="I50" s="1" t="s">
        <v>41</v>
      </c>
      <c r="J50" s="1">
        <v>1</v>
      </c>
      <c r="K50" s="1" t="s">
        <v>27</v>
      </c>
      <c r="L50" s="1" t="s">
        <v>214</v>
      </c>
      <c r="M50" s="1" t="s">
        <v>79</v>
      </c>
      <c r="N50" s="1" t="s">
        <v>30</v>
      </c>
      <c r="O50" s="1" t="s">
        <v>232</v>
      </c>
      <c r="P50" s="1" t="s">
        <v>284</v>
      </c>
      <c r="Q50" s="1" t="s">
        <v>21</v>
      </c>
      <c r="R50" s="1" t="s">
        <v>21</v>
      </c>
      <c r="S50" s="1" t="s">
        <v>21</v>
      </c>
    </row>
    <row r="51" spans="1:19" x14ac:dyDescent="0.25">
      <c r="A51" s="1">
        <v>50</v>
      </c>
      <c r="B51" s="1" t="s">
        <v>176</v>
      </c>
      <c r="C51" s="1" t="s">
        <v>215</v>
      </c>
      <c r="D51" s="1" t="s">
        <v>21</v>
      </c>
      <c r="E51" s="1" t="s">
        <v>22</v>
      </c>
      <c r="F51" s="1" t="s">
        <v>23</v>
      </c>
      <c r="G51" s="1" t="s">
        <v>24</v>
      </c>
      <c r="H51" s="1" t="s">
        <v>33</v>
      </c>
      <c r="I51" s="1" t="s">
        <v>50</v>
      </c>
      <c r="J51" s="1">
        <v>1</v>
      </c>
      <c r="K51" s="1" t="s">
        <v>27</v>
      </c>
      <c r="L51" s="1" t="s">
        <v>216</v>
      </c>
      <c r="M51" s="1" t="s">
        <v>79</v>
      </c>
      <c r="N51" s="1" t="s">
        <v>30</v>
      </c>
      <c r="O51" s="1" t="s">
        <v>232</v>
      </c>
      <c r="P51" s="1" t="s">
        <v>284</v>
      </c>
      <c r="Q51" s="1" t="s">
        <v>21</v>
      </c>
      <c r="R51" s="1" t="s">
        <v>21</v>
      </c>
      <c r="S51" s="1" t="s">
        <v>21</v>
      </c>
    </row>
    <row r="52" spans="1:19" x14ac:dyDescent="0.25">
      <c r="A52" s="1">
        <v>51</v>
      </c>
      <c r="B52" s="1" t="s">
        <v>217</v>
      </c>
      <c r="C52" s="1" t="s">
        <v>218</v>
      </c>
      <c r="D52" s="1" t="s">
        <v>21</v>
      </c>
      <c r="E52" s="1" t="s">
        <v>22</v>
      </c>
      <c r="F52" s="1" t="s">
        <v>23</v>
      </c>
      <c r="G52" s="1" t="s">
        <v>24</v>
      </c>
      <c r="H52" s="1" t="s">
        <v>33</v>
      </c>
      <c r="I52" s="1" t="s">
        <v>41</v>
      </c>
      <c r="J52" s="1">
        <v>3</v>
      </c>
      <c r="K52" s="1" t="s">
        <v>27</v>
      </c>
      <c r="L52" s="1" t="s">
        <v>219</v>
      </c>
      <c r="M52" s="1" t="s">
        <v>29</v>
      </c>
      <c r="N52" s="1" t="s">
        <v>30</v>
      </c>
      <c r="O52" s="1" t="s">
        <v>256</v>
      </c>
      <c r="P52" s="1" t="s">
        <v>21</v>
      </c>
      <c r="Q52" s="1" t="s">
        <v>21</v>
      </c>
      <c r="R52" s="1" t="s">
        <v>21</v>
      </c>
      <c r="S52" s="1" t="s">
        <v>21</v>
      </c>
    </row>
    <row r="53" spans="1:19" x14ac:dyDescent="0.25">
      <c r="A53" s="1">
        <v>52</v>
      </c>
      <c r="B53" s="1" t="s">
        <v>217</v>
      </c>
      <c r="C53" s="1" t="s">
        <v>220</v>
      </c>
      <c r="D53" s="1" t="s">
        <v>21</v>
      </c>
      <c r="E53" s="1" t="s">
        <v>22</v>
      </c>
      <c r="F53" s="1" t="s">
        <v>23</v>
      </c>
      <c r="G53" s="1" t="s">
        <v>24</v>
      </c>
      <c r="H53" s="1" t="s">
        <v>33</v>
      </c>
      <c r="I53" s="1" t="s">
        <v>50</v>
      </c>
      <c r="J53" s="1">
        <v>1</v>
      </c>
      <c r="K53" s="1" t="s">
        <v>27</v>
      </c>
      <c r="L53" s="1" t="s">
        <v>221</v>
      </c>
      <c r="M53" s="1" t="s">
        <v>79</v>
      </c>
      <c r="N53" s="1" t="s">
        <v>30</v>
      </c>
      <c r="O53" s="1" t="s">
        <v>232</v>
      </c>
      <c r="P53" s="1" t="s">
        <v>284</v>
      </c>
      <c r="Q53" s="1" t="s">
        <v>21</v>
      </c>
      <c r="R53" s="1" t="s">
        <v>21</v>
      </c>
      <c r="S53" s="1" t="s">
        <v>21</v>
      </c>
    </row>
    <row r="54" spans="1:19" x14ac:dyDescent="0.25">
      <c r="A54" s="1">
        <v>53</v>
      </c>
      <c r="B54" s="1" t="s">
        <v>19</v>
      </c>
      <c r="C54" s="1" t="s">
        <v>20</v>
      </c>
      <c r="D54" s="1" t="s">
        <v>21</v>
      </c>
      <c r="E54" s="1" t="s">
        <v>22</v>
      </c>
      <c r="F54" s="1" t="s">
        <v>23</v>
      </c>
      <c r="G54" s="1" t="s">
        <v>24</v>
      </c>
      <c r="H54" s="1" t="s">
        <v>1480</v>
      </c>
      <c r="I54" s="1" t="s">
        <v>26</v>
      </c>
      <c r="J54" s="1">
        <v>1</v>
      </c>
      <c r="K54" s="1" t="s">
        <v>27</v>
      </c>
      <c r="L54" s="1" t="s">
        <v>28</v>
      </c>
      <c r="M54" s="1" t="s">
        <v>285</v>
      </c>
      <c r="N54" s="1" t="s">
        <v>30</v>
      </c>
      <c r="O54" s="1" t="s">
        <v>232</v>
      </c>
      <c r="P54" s="1" t="s">
        <v>232</v>
      </c>
      <c r="Q54" s="1" t="s">
        <v>284</v>
      </c>
      <c r="R54" s="1" t="s">
        <v>21</v>
      </c>
      <c r="S54" s="1" t="s">
        <v>21</v>
      </c>
    </row>
    <row r="55" spans="1:19" x14ac:dyDescent="0.25">
      <c r="A55" s="1">
        <v>54</v>
      </c>
      <c r="B55" s="1" t="s">
        <v>31</v>
      </c>
      <c r="C55" s="1" t="s">
        <v>32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33</v>
      </c>
      <c r="I55" s="1" t="s">
        <v>34</v>
      </c>
      <c r="J55" s="1">
        <v>1</v>
      </c>
      <c r="K55" s="1" t="s">
        <v>27</v>
      </c>
      <c r="L55" s="1" t="s">
        <v>35</v>
      </c>
      <c r="M55" s="1" t="s">
        <v>285</v>
      </c>
      <c r="N55" s="1" t="s">
        <v>30</v>
      </c>
      <c r="O55" s="1" t="s">
        <v>232</v>
      </c>
      <c r="P55" s="1" t="s">
        <v>232</v>
      </c>
      <c r="Q55" s="1" t="s">
        <v>284</v>
      </c>
      <c r="R55" s="1" t="s">
        <v>21</v>
      </c>
      <c r="S55" s="1" t="s">
        <v>21</v>
      </c>
    </row>
    <row r="56" spans="1:19" x14ac:dyDescent="0.25">
      <c r="A56" s="1">
        <v>55</v>
      </c>
      <c r="B56" s="1" t="s">
        <v>36</v>
      </c>
      <c r="C56" s="1" t="s">
        <v>37</v>
      </c>
      <c r="D56" s="1" t="s">
        <v>21</v>
      </c>
      <c r="E56" s="1" t="s">
        <v>22</v>
      </c>
      <c r="F56" s="1" t="s">
        <v>23</v>
      </c>
      <c r="G56" s="1" t="s">
        <v>24</v>
      </c>
      <c r="H56" s="1" t="s">
        <v>33</v>
      </c>
      <c r="I56" s="1" t="s">
        <v>38</v>
      </c>
      <c r="J56" s="1">
        <v>1</v>
      </c>
      <c r="K56" s="1" t="s">
        <v>27</v>
      </c>
      <c r="L56" s="1" t="s">
        <v>39</v>
      </c>
      <c r="M56" s="1" t="s">
        <v>285</v>
      </c>
      <c r="N56" s="1" t="s">
        <v>30</v>
      </c>
      <c r="O56" s="1" t="s">
        <v>232</v>
      </c>
      <c r="P56" s="1" t="s">
        <v>232</v>
      </c>
      <c r="Q56" s="1" t="s">
        <v>284</v>
      </c>
      <c r="R56" s="1" t="s">
        <v>21</v>
      </c>
      <c r="S56" s="1" t="s">
        <v>21</v>
      </c>
    </row>
    <row r="57" spans="1:19" x14ac:dyDescent="0.25">
      <c r="A57" s="1">
        <v>56</v>
      </c>
      <c r="B57" s="1" t="s">
        <v>31</v>
      </c>
      <c r="C57" s="1" t="s">
        <v>40</v>
      </c>
      <c r="D57" s="1" t="s">
        <v>21</v>
      </c>
      <c r="E57" s="1" t="s">
        <v>22</v>
      </c>
      <c r="F57" s="1" t="s">
        <v>23</v>
      </c>
      <c r="G57" s="1" t="s">
        <v>24</v>
      </c>
      <c r="H57" s="1" t="s">
        <v>33</v>
      </c>
      <c r="I57" s="1" t="s">
        <v>41</v>
      </c>
      <c r="J57" s="1">
        <v>2</v>
      </c>
      <c r="K57" s="1" t="s">
        <v>27</v>
      </c>
      <c r="L57" s="1" t="s">
        <v>42</v>
      </c>
      <c r="M57" s="1" t="s">
        <v>29</v>
      </c>
      <c r="N57" s="1" t="s">
        <v>233</v>
      </c>
      <c r="O57" s="1" t="s">
        <v>234</v>
      </c>
      <c r="P57" s="1" t="s">
        <v>21</v>
      </c>
      <c r="Q57" s="1" t="s">
        <v>21</v>
      </c>
      <c r="R57" s="1" t="s">
        <v>43</v>
      </c>
      <c r="S57" s="1" t="s">
        <v>21</v>
      </c>
    </row>
    <row r="58" spans="1:19" x14ac:dyDescent="0.25">
      <c r="A58" s="1">
        <v>57</v>
      </c>
      <c r="B58" s="1" t="s">
        <v>44</v>
      </c>
      <c r="C58" s="1" t="s">
        <v>45</v>
      </c>
      <c r="D58" s="1" t="s">
        <v>21</v>
      </c>
      <c r="E58" s="1" t="s">
        <v>22</v>
      </c>
      <c r="F58" s="1" t="s">
        <v>23</v>
      </c>
      <c r="G58" s="1" t="s">
        <v>24</v>
      </c>
      <c r="H58" s="1" t="s">
        <v>33</v>
      </c>
      <c r="I58" s="1" t="s">
        <v>46</v>
      </c>
      <c r="J58" s="1">
        <v>1</v>
      </c>
      <c r="K58" s="1" t="s">
        <v>27</v>
      </c>
      <c r="L58" s="1" t="s">
        <v>47</v>
      </c>
      <c r="M58" s="1" t="s">
        <v>79</v>
      </c>
      <c r="N58" s="1" t="s">
        <v>261</v>
      </c>
      <c r="O58" s="1" t="s">
        <v>232</v>
      </c>
      <c r="P58" s="1" t="s">
        <v>262</v>
      </c>
      <c r="Q58" s="1" t="s">
        <v>21</v>
      </c>
      <c r="R58" s="1" t="s">
        <v>288</v>
      </c>
      <c r="S58" s="1" t="s">
        <v>289</v>
      </c>
    </row>
    <row r="59" spans="1:19" x14ac:dyDescent="0.25">
      <c r="A59" s="1">
        <v>58</v>
      </c>
      <c r="B59" s="1" t="s">
        <v>48</v>
      </c>
      <c r="C59" s="1" t="s">
        <v>49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33</v>
      </c>
      <c r="I59" s="1" t="s">
        <v>50</v>
      </c>
      <c r="J59" s="1">
        <v>1</v>
      </c>
      <c r="K59" s="1" t="s">
        <v>27</v>
      </c>
      <c r="L59" s="1" t="s">
        <v>51</v>
      </c>
      <c r="M59" s="1" t="s">
        <v>285</v>
      </c>
      <c r="N59" s="1" t="s">
        <v>30</v>
      </c>
      <c r="O59" s="1" t="s">
        <v>232</v>
      </c>
      <c r="P59" s="1" t="s">
        <v>232</v>
      </c>
      <c r="Q59" s="1" t="s">
        <v>284</v>
      </c>
      <c r="R59" s="1" t="s">
        <v>21</v>
      </c>
      <c r="S59" s="1" t="s">
        <v>21</v>
      </c>
    </row>
    <row r="60" spans="1:19" x14ac:dyDescent="0.25">
      <c r="A60" s="1">
        <v>59</v>
      </c>
      <c r="B60" s="1" t="s">
        <v>48</v>
      </c>
      <c r="C60" s="1" t="s">
        <v>52</v>
      </c>
      <c r="D60" s="1" t="s">
        <v>21</v>
      </c>
      <c r="E60" s="1" t="s">
        <v>22</v>
      </c>
      <c r="F60" s="1" t="s">
        <v>23</v>
      </c>
      <c r="G60" s="1" t="s">
        <v>24</v>
      </c>
      <c r="H60" s="1" t="s">
        <v>33</v>
      </c>
      <c r="I60" s="1" t="s">
        <v>41</v>
      </c>
      <c r="J60" s="1">
        <v>1</v>
      </c>
      <c r="K60" s="1" t="s">
        <v>27</v>
      </c>
      <c r="L60" s="1" t="s">
        <v>53</v>
      </c>
      <c r="M60" s="1" t="s">
        <v>285</v>
      </c>
      <c r="N60" s="1" t="s">
        <v>30</v>
      </c>
      <c r="O60" s="1" t="s">
        <v>232</v>
      </c>
      <c r="P60" s="1" t="s">
        <v>232</v>
      </c>
      <c r="Q60" s="1" t="s">
        <v>284</v>
      </c>
      <c r="R60" s="1" t="s">
        <v>21</v>
      </c>
      <c r="S60" s="1" t="s">
        <v>21</v>
      </c>
    </row>
    <row r="61" spans="1:19" x14ac:dyDescent="0.25">
      <c r="A61" s="1">
        <v>60</v>
      </c>
      <c r="B61" s="1" t="s">
        <v>54</v>
      </c>
      <c r="C61" s="1" t="s">
        <v>55</v>
      </c>
      <c r="D61" s="1" t="s">
        <v>21</v>
      </c>
      <c r="E61" s="1" t="s">
        <v>22</v>
      </c>
      <c r="F61" s="1" t="s">
        <v>23</v>
      </c>
      <c r="G61" s="1" t="s">
        <v>24</v>
      </c>
      <c r="H61" s="1" t="s">
        <v>1480</v>
      </c>
      <c r="I61" s="1" t="s">
        <v>56</v>
      </c>
      <c r="J61" s="1">
        <v>1</v>
      </c>
      <c r="K61" s="1" t="s">
        <v>27</v>
      </c>
      <c r="L61" s="1" t="s">
        <v>57</v>
      </c>
      <c r="M61" s="1" t="s">
        <v>285</v>
      </c>
      <c r="N61" s="1" t="s">
        <v>30</v>
      </c>
      <c r="O61" s="1" t="s">
        <v>232</v>
      </c>
      <c r="P61" s="1" t="s">
        <v>232</v>
      </c>
      <c r="Q61" s="1" t="s">
        <v>284</v>
      </c>
      <c r="R61" s="1" t="s">
        <v>21</v>
      </c>
      <c r="S61" s="1" t="s">
        <v>21</v>
      </c>
    </row>
    <row r="62" spans="1:19" x14ac:dyDescent="0.25">
      <c r="A62" s="1">
        <v>61</v>
      </c>
      <c r="B62" s="1" t="s">
        <v>58</v>
      </c>
      <c r="C62" s="1" t="s">
        <v>59</v>
      </c>
      <c r="D62" s="1" t="s">
        <v>21</v>
      </c>
      <c r="E62" s="1" t="s">
        <v>22</v>
      </c>
      <c r="F62" s="1" t="s">
        <v>23</v>
      </c>
      <c r="G62" s="1" t="s">
        <v>24</v>
      </c>
      <c r="H62" s="1" t="s">
        <v>33</v>
      </c>
      <c r="I62" s="1" t="s">
        <v>41</v>
      </c>
      <c r="J62" s="1">
        <v>2</v>
      </c>
      <c r="K62" s="1" t="s">
        <v>27</v>
      </c>
      <c r="L62" s="1" t="s">
        <v>60</v>
      </c>
      <c r="M62" s="1" t="s">
        <v>29</v>
      </c>
      <c r="N62" s="1" t="s">
        <v>233</v>
      </c>
      <c r="O62" s="1" t="s">
        <v>234</v>
      </c>
      <c r="P62" s="1" t="s">
        <v>21</v>
      </c>
      <c r="Q62" s="1" t="s">
        <v>21</v>
      </c>
      <c r="R62" s="1" t="s">
        <v>290</v>
      </c>
      <c r="S62" s="1" t="s">
        <v>21</v>
      </c>
    </row>
    <row r="63" spans="1:19" x14ac:dyDescent="0.25">
      <c r="A63" s="1">
        <v>62</v>
      </c>
      <c r="B63" s="1" t="s">
        <v>61</v>
      </c>
      <c r="C63" s="1" t="s">
        <v>62</v>
      </c>
      <c r="D63" s="1" t="s">
        <v>21</v>
      </c>
      <c r="E63" s="1" t="s">
        <v>22</v>
      </c>
      <c r="F63" s="1" t="s">
        <v>23</v>
      </c>
      <c r="G63" s="1" t="s">
        <v>24</v>
      </c>
      <c r="H63" s="1" t="s">
        <v>33</v>
      </c>
      <c r="I63" s="1" t="s">
        <v>41</v>
      </c>
      <c r="J63" s="1">
        <v>3</v>
      </c>
      <c r="K63" s="1" t="s">
        <v>27</v>
      </c>
      <c r="L63" s="1" t="s">
        <v>63</v>
      </c>
      <c r="M63" s="1" t="s">
        <v>285</v>
      </c>
      <c r="N63" s="1" t="s">
        <v>30</v>
      </c>
      <c r="O63" s="1" t="s">
        <v>232</v>
      </c>
      <c r="P63" s="1" t="s">
        <v>232</v>
      </c>
      <c r="Q63" s="1" t="s">
        <v>284</v>
      </c>
      <c r="R63" s="1" t="s">
        <v>21</v>
      </c>
      <c r="S63" s="1" t="s">
        <v>21</v>
      </c>
    </row>
    <row r="64" spans="1:19" x14ac:dyDescent="0.25">
      <c r="A64" s="1">
        <v>63</v>
      </c>
      <c r="B64" s="1" t="s">
        <v>64</v>
      </c>
      <c r="C64" s="1" t="s">
        <v>65</v>
      </c>
      <c r="D64" s="1" t="s">
        <v>21</v>
      </c>
      <c r="E64" s="1" t="s">
        <v>22</v>
      </c>
      <c r="F64" s="1" t="s">
        <v>23</v>
      </c>
      <c r="G64" s="1" t="s">
        <v>24</v>
      </c>
      <c r="H64" s="1" t="s">
        <v>33</v>
      </c>
      <c r="I64" s="1" t="s">
        <v>41</v>
      </c>
      <c r="J64" s="1">
        <v>1</v>
      </c>
      <c r="K64" s="1" t="s">
        <v>27</v>
      </c>
      <c r="L64" s="1" t="s">
        <v>66</v>
      </c>
      <c r="M64" s="1" t="s">
        <v>285</v>
      </c>
      <c r="N64" s="1" t="s">
        <v>30</v>
      </c>
      <c r="O64" s="1" t="s">
        <v>232</v>
      </c>
      <c r="P64" s="1" t="s">
        <v>232</v>
      </c>
      <c r="Q64" s="1" t="s">
        <v>284</v>
      </c>
      <c r="R64" s="1" t="s">
        <v>21</v>
      </c>
      <c r="S64" s="1" t="s">
        <v>21</v>
      </c>
    </row>
    <row r="65" spans="1:19" x14ac:dyDescent="0.25">
      <c r="A65" s="1">
        <v>64</v>
      </c>
      <c r="B65" s="1" t="s">
        <v>19</v>
      </c>
      <c r="C65" s="1" t="s">
        <v>67</v>
      </c>
      <c r="D65" s="1" t="s">
        <v>21</v>
      </c>
      <c r="E65" s="1" t="s">
        <v>22</v>
      </c>
      <c r="F65" s="1" t="s">
        <v>23</v>
      </c>
      <c r="G65" s="1" t="s">
        <v>24</v>
      </c>
      <c r="H65" s="1" t="s">
        <v>1480</v>
      </c>
      <c r="I65" s="1" t="s">
        <v>26</v>
      </c>
      <c r="J65" s="1">
        <v>1</v>
      </c>
      <c r="K65" s="1" t="s">
        <v>27</v>
      </c>
      <c r="L65" s="1" t="s">
        <v>68</v>
      </c>
      <c r="M65" s="1" t="s">
        <v>29</v>
      </c>
      <c r="N65" s="1" t="s">
        <v>233</v>
      </c>
      <c r="O65" s="1" t="s">
        <v>234</v>
      </c>
      <c r="P65" s="1" t="s">
        <v>21</v>
      </c>
      <c r="Q65" s="1" t="s">
        <v>21</v>
      </c>
      <c r="R65" s="1" t="s">
        <v>69</v>
      </c>
      <c r="S65" s="1" t="s">
        <v>21</v>
      </c>
    </row>
    <row r="66" spans="1:19" x14ac:dyDescent="0.25">
      <c r="A66" s="1">
        <v>65</v>
      </c>
      <c r="B66" s="1" t="s">
        <v>70</v>
      </c>
      <c r="C66" s="1" t="s">
        <v>71</v>
      </c>
      <c r="D66" s="1" t="s">
        <v>21</v>
      </c>
      <c r="E66" s="1" t="s">
        <v>22</v>
      </c>
      <c r="F66" s="1" t="s">
        <v>23</v>
      </c>
      <c r="G66" s="1" t="s">
        <v>24</v>
      </c>
      <c r="H66" s="1" t="s">
        <v>33</v>
      </c>
      <c r="I66" s="1" t="s">
        <v>72</v>
      </c>
      <c r="J66" s="1">
        <v>1</v>
      </c>
      <c r="K66" s="1" t="s">
        <v>27</v>
      </c>
      <c r="L66" s="1" t="s">
        <v>73</v>
      </c>
      <c r="M66" s="1" t="s">
        <v>29</v>
      </c>
      <c r="N66" s="1" t="s">
        <v>233</v>
      </c>
      <c r="O66" s="1" t="s">
        <v>234</v>
      </c>
      <c r="P66" s="1" t="s">
        <v>21</v>
      </c>
      <c r="Q66" s="1" t="s">
        <v>21</v>
      </c>
      <c r="R66" s="1" t="s">
        <v>74</v>
      </c>
      <c r="S66" s="1" t="s">
        <v>21</v>
      </c>
    </row>
    <row r="67" spans="1:19" x14ac:dyDescent="0.25">
      <c r="A67" s="1">
        <v>66</v>
      </c>
      <c r="B67" s="1" t="s">
        <v>75</v>
      </c>
      <c r="C67" s="1" t="s">
        <v>76</v>
      </c>
      <c r="D67" s="1" t="s">
        <v>21</v>
      </c>
      <c r="E67" s="1" t="s">
        <v>22</v>
      </c>
      <c r="F67" s="1" t="s">
        <v>23</v>
      </c>
      <c r="G67" s="1" t="s">
        <v>24</v>
      </c>
      <c r="H67" s="1" t="s">
        <v>33</v>
      </c>
      <c r="I67" s="1" t="s">
        <v>77</v>
      </c>
      <c r="J67" s="1">
        <v>1</v>
      </c>
      <c r="K67" s="1" t="s">
        <v>27</v>
      </c>
      <c r="L67" s="1" t="s">
        <v>78</v>
      </c>
      <c r="M67" s="1" t="s">
        <v>79</v>
      </c>
      <c r="N67" s="1" t="s">
        <v>30</v>
      </c>
      <c r="O67" s="1" t="s">
        <v>232</v>
      </c>
      <c r="P67" s="1" t="s">
        <v>232</v>
      </c>
      <c r="Q67" s="1" t="s">
        <v>284</v>
      </c>
      <c r="R67" s="1" t="s">
        <v>21</v>
      </c>
      <c r="S67" s="1" t="s">
        <v>21</v>
      </c>
    </row>
    <row r="68" spans="1:19" x14ac:dyDescent="0.25">
      <c r="A68" s="1">
        <v>67</v>
      </c>
      <c r="B68" s="1" t="s">
        <v>80</v>
      </c>
      <c r="C68" s="1" t="s">
        <v>81</v>
      </c>
      <c r="D68" s="1" t="s">
        <v>21</v>
      </c>
      <c r="E68" s="1" t="s">
        <v>22</v>
      </c>
      <c r="F68" s="1" t="s">
        <v>23</v>
      </c>
      <c r="G68" s="1" t="s">
        <v>24</v>
      </c>
      <c r="H68" s="1" t="s">
        <v>33</v>
      </c>
      <c r="I68" s="1" t="s">
        <v>41</v>
      </c>
      <c r="J68" s="1">
        <v>2</v>
      </c>
      <c r="K68" s="1" t="s">
        <v>27</v>
      </c>
      <c r="L68" s="1" t="s">
        <v>82</v>
      </c>
      <c r="M68" s="1" t="s">
        <v>79</v>
      </c>
      <c r="N68" s="1" t="s">
        <v>30</v>
      </c>
      <c r="O68" s="1" t="s">
        <v>232</v>
      </c>
      <c r="P68" s="1" t="s">
        <v>232</v>
      </c>
      <c r="Q68" s="1" t="s">
        <v>284</v>
      </c>
      <c r="R68" s="1" t="s">
        <v>21</v>
      </c>
      <c r="S68" s="1" t="s">
        <v>21</v>
      </c>
    </row>
    <row r="69" spans="1:19" x14ac:dyDescent="0.25">
      <c r="A69" s="1">
        <v>68</v>
      </c>
      <c r="B69" s="1" t="s">
        <v>83</v>
      </c>
      <c r="C69" s="1" t="s">
        <v>84</v>
      </c>
      <c r="D69" s="1" t="s">
        <v>21</v>
      </c>
      <c r="E69" s="1" t="s">
        <v>22</v>
      </c>
      <c r="F69" s="1" t="s">
        <v>23</v>
      </c>
      <c r="G69" s="1" t="s">
        <v>24</v>
      </c>
      <c r="H69" s="1" t="s">
        <v>33</v>
      </c>
      <c r="I69" s="1" t="s">
        <v>77</v>
      </c>
      <c r="J69" s="1">
        <v>1</v>
      </c>
      <c r="K69" s="1" t="s">
        <v>27</v>
      </c>
      <c r="L69" s="1" t="s">
        <v>85</v>
      </c>
      <c r="M69" s="1" t="s">
        <v>29</v>
      </c>
      <c r="N69" s="1" t="s">
        <v>233</v>
      </c>
      <c r="O69" s="1" t="s">
        <v>234</v>
      </c>
      <c r="P69" s="1" t="s">
        <v>21</v>
      </c>
      <c r="Q69" s="1" t="s">
        <v>21</v>
      </c>
      <c r="R69" s="1" t="s">
        <v>86</v>
      </c>
      <c r="S69" s="1" t="s">
        <v>21</v>
      </c>
    </row>
    <row r="70" spans="1:19" x14ac:dyDescent="0.25">
      <c r="A70" s="1">
        <v>69</v>
      </c>
      <c r="B70" s="1" t="s">
        <v>80</v>
      </c>
      <c r="C70" s="1" t="s">
        <v>87</v>
      </c>
      <c r="D70" s="1" t="s">
        <v>21</v>
      </c>
      <c r="E70" s="1" t="s">
        <v>22</v>
      </c>
      <c r="F70" s="1" t="s">
        <v>23</v>
      </c>
      <c r="G70" s="1" t="s">
        <v>24</v>
      </c>
      <c r="H70" s="1" t="s">
        <v>33</v>
      </c>
      <c r="I70" s="1" t="s">
        <v>50</v>
      </c>
      <c r="J70" s="1">
        <v>1</v>
      </c>
      <c r="K70" s="1" t="s">
        <v>27</v>
      </c>
      <c r="L70" s="1" t="s">
        <v>88</v>
      </c>
      <c r="M70" s="1" t="s">
        <v>79</v>
      </c>
      <c r="N70" s="1" t="s">
        <v>30</v>
      </c>
      <c r="O70" s="1" t="s">
        <v>232</v>
      </c>
      <c r="P70" s="1" t="s">
        <v>232</v>
      </c>
      <c r="Q70" s="1" t="s">
        <v>284</v>
      </c>
      <c r="R70" s="1" t="s">
        <v>21</v>
      </c>
      <c r="S70" s="1" t="s">
        <v>21</v>
      </c>
    </row>
    <row r="71" spans="1:19" x14ac:dyDescent="0.25">
      <c r="A71" s="1">
        <v>70</v>
      </c>
      <c r="B71" s="1" t="s">
        <v>44</v>
      </c>
      <c r="C71" s="1" t="s">
        <v>89</v>
      </c>
      <c r="D71" s="1" t="s">
        <v>1441</v>
      </c>
      <c r="E71" s="1" t="s">
        <v>22</v>
      </c>
      <c r="F71" s="1" t="s">
        <v>23</v>
      </c>
      <c r="G71" s="1" t="s">
        <v>24</v>
      </c>
      <c r="H71" s="1" t="s">
        <v>33</v>
      </c>
      <c r="I71" s="1" t="s">
        <v>46</v>
      </c>
      <c r="J71" s="1">
        <v>1</v>
      </c>
      <c r="K71" s="1" t="s">
        <v>27</v>
      </c>
      <c r="L71" s="1" t="s">
        <v>90</v>
      </c>
      <c r="M71" s="1" t="s">
        <v>285</v>
      </c>
      <c r="N71" s="1" t="s">
        <v>30</v>
      </c>
      <c r="O71" s="1" t="s">
        <v>232</v>
      </c>
      <c r="P71" s="1" t="s">
        <v>232</v>
      </c>
      <c r="Q71" s="1" t="s">
        <v>256</v>
      </c>
      <c r="R71" s="1" t="s">
        <v>21</v>
      </c>
      <c r="S71" s="1" t="s">
        <v>21</v>
      </c>
    </row>
    <row r="72" spans="1:19" x14ac:dyDescent="0.25">
      <c r="A72" s="1">
        <v>71</v>
      </c>
      <c r="B72" s="1" t="s">
        <v>91</v>
      </c>
      <c r="C72" s="1" t="s">
        <v>92</v>
      </c>
      <c r="D72" s="1" t="s">
        <v>21</v>
      </c>
      <c r="E72" s="1" t="s">
        <v>22</v>
      </c>
      <c r="F72" s="1" t="s">
        <v>23</v>
      </c>
      <c r="G72" s="1" t="s">
        <v>24</v>
      </c>
      <c r="H72" s="1" t="s">
        <v>33</v>
      </c>
      <c r="I72" s="1" t="s">
        <v>50</v>
      </c>
      <c r="J72" s="1">
        <v>1</v>
      </c>
      <c r="K72" s="1" t="s">
        <v>27</v>
      </c>
      <c r="L72" s="1" t="s">
        <v>93</v>
      </c>
      <c r="M72" s="1" t="s">
        <v>29</v>
      </c>
      <c r="N72" s="1" t="s">
        <v>233</v>
      </c>
      <c r="O72" s="1" t="s">
        <v>234</v>
      </c>
      <c r="P72" s="1" t="s">
        <v>21</v>
      </c>
      <c r="Q72" s="1" t="s">
        <v>21</v>
      </c>
      <c r="R72" s="1" t="s">
        <v>94</v>
      </c>
      <c r="S72" s="1" t="s">
        <v>21</v>
      </c>
    </row>
    <row r="73" spans="1:19" x14ac:dyDescent="0.25">
      <c r="A73" s="1">
        <v>72</v>
      </c>
      <c r="B73" s="1" t="s">
        <v>95</v>
      </c>
      <c r="C73" s="1" t="s">
        <v>96</v>
      </c>
      <c r="D73" s="1" t="s">
        <v>1442</v>
      </c>
      <c r="E73" s="1" t="s">
        <v>22</v>
      </c>
      <c r="F73" s="1" t="s">
        <v>23</v>
      </c>
      <c r="G73" s="1" t="s">
        <v>24</v>
      </c>
      <c r="H73" s="1" t="s">
        <v>1480</v>
      </c>
      <c r="I73" s="1" t="s">
        <v>97</v>
      </c>
      <c r="J73" s="1">
        <v>1</v>
      </c>
      <c r="K73" s="1" t="s">
        <v>27</v>
      </c>
      <c r="L73" s="1" t="s">
        <v>98</v>
      </c>
      <c r="M73" s="1" t="s">
        <v>285</v>
      </c>
      <c r="N73" s="1" t="s">
        <v>30</v>
      </c>
      <c r="O73" s="1" t="s">
        <v>232</v>
      </c>
      <c r="P73" s="1" t="s">
        <v>232</v>
      </c>
      <c r="Q73" s="1" t="s">
        <v>256</v>
      </c>
      <c r="R73" s="1" t="s">
        <v>21</v>
      </c>
      <c r="S73" s="1" t="s">
        <v>21</v>
      </c>
    </row>
    <row r="74" spans="1:19" x14ac:dyDescent="0.25">
      <c r="A74" s="1">
        <v>73</v>
      </c>
      <c r="B74" s="1" t="s">
        <v>99</v>
      </c>
      <c r="C74" s="1" t="s">
        <v>100</v>
      </c>
      <c r="D74" s="1" t="s">
        <v>21</v>
      </c>
      <c r="E74" s="1" t="s">
        <v>22</v>
      </c>
      <c r="F74" s="1" t="s">
        <v>23</v>
      </c>
      <c r="G74" s="1" t="s">
        <v>24</v>
      </c>
      <c r="H74" s="1" t="s">
        <v>1480</v>
      </c>
      <c r="I74" s="1" t="s">
        <v>26</v>
      </c>
      <c r="J74" s="1">
        <v>1</v>
      </c>
      <c r="K74" s="1" t="s">
        <v>27</v>
      </c>
      <c r="L74" s="1" t="s">
        <v>101</v>
      </c>
      <c r="M74" s="1" t="s">
        <v>29</v>
      </c>
      <c r="N74" s="1" t="s">
        <v>233</v>
      </c>
      <c r="O74" s="1" t="s">
        <v>234</v>
      </c>
      <c r="P74" s="1" t="s">
        <v>21</v>
      </c>
      <c r="Q74" s="1" t="s">
        <v>21</v>
      </c>
      <c r="R74" s="1" t="s">
        <v>102</v>
      </c>
      <c r="S74" s="1" t="s">
        <v>21</v>
      </c>
    </row>
    <row r="75" spans="1:19" x14ac:dyDescent="0.25">
      <c r="A75" s="1">
        <v>74</v>
      </c>
      <c r="B75" s="1" t="s">
        <v>103</v>
      </c>
      <c r="C75" s="1" t="s">
        <v>104</v>
      </c>
      <c r="D75" s="1" t="s">
        <v>21</v>
      </c>
      <c r="E75" s="1" t="s">
        <v>22</v>
      </c>
      <c r="F75" s="1" t="s">
        <v>23</v>
      </c>
      <c r="G75" s="1" t="s">
        <v>24</v>
      </c>
      <c r="H75" s="1" t="s">
        <v>1480</v>
      </c>
      <c r="I75" s="1" t="s">
        <v>26</v>
      </c>
      <c r="J75" s="1">
        <v>1</v>
      </c>
      <c r="K75" s="1" t="s">
        <v>27</v>
      </c>
      <c r="L75" s="1" t="s">
        <v>105</v>
      </c>
      <c r="M75" s="1" t="s">
        <v>29</v>
      </c>
      <c r="N75" s="1" t="s">
        <v>233</v>
      </c>
      <c r="O75" s="1" t="s">
        <v>234</v>
      </c>
      <c r="P75" s="1" t="s">
        <v>21</v>
      </c>
      <c r="Q75" s="1" t="s">
        <v>21</v>
      </c>
      <c r="R75" s="1" t="s">
        <v>106</v>
      </c>
      <c r="S75" s="1" t="s">
        <v>21</v>
      </c>
    </row>
    <row r="76" spans="1:19" x14ac:dyDescent="0.25">
      <c r="A76" s="1">
        <v>75</v>
      </c>
      <c r="B76" s="1" t="s">
        <v>95</v>
      </c>
      <c r="C76" s="1" t="s">
        <v>107</v>
      </c>
      <c r="D76" s="1" t="s">
        <v>21</v>
      </c>
      <c r="E76" s="1" t="s">
        <v>22</v>
      </c>
      <c r="F76" s="1" t="s">
        <v>23</v>
      </c>
      <c r="G76" s="1" t="s">
        <v>24</v>
      </c>
      <c r="H76" s="1" t="s">
        <v>1480</v>
      </c>
      <c r="I76" s="1" t="s">
        <v>97</v>
      </c>
      <c r="J76" s="1">
        <v>1</v>
      </c>
      <c r="K76" s="1" t="s">
        <v>27</v>
      </c>
      <c r="L76" s="1" t="s">
        <v>108</v>
      </c>
      <c r="M76" s="1" t="s">
        <v>29</v>
      </c>
      <c r="N76" s="1" t="s">
        <v>233</v>
      </c>
      <c r="O76" s="1" t="s">
        <v>234</v>
      </c>
      <c r="P76" s="1" t="s">
        <v>21</v>
      </c>
      <c r="Q76" s="1" t="s">
        <v>21</v>
      </c>
      <c r="R76" s="1" t="s">
        <v>109</v>
      </c>
      <c r="S76" s="1" t="s">
        <v>21</v>
      </c>
    </row>
    <row r="77" spans="1:19" x14ac:dyDescent="0.25">
      <c r="A77" s="1">
        <v>76</v>
      </c>
      <c r="B77" s="1" t="s">
        <v>110</v>
      </c>
      <c r="C77" s="1" t="s">
        <v>111</v>
      </c>
      <c r="D77" s="1" t="s">
        <v>1443</v>
      </c>
      <c r="E77" s="1" t="s">
        <v>22</v>
      </c>
      <c r="F77" s="1" t="s">
        <v>23</v>
      </c>
      <c r="G77" s="1" t="s">
        <v>24</v>
      </c>
      <c r="H77" s="1" t="s">
        <v>1480</v>
      </c>
      <c r="I77" s="1" t="s">
        <v>56</v>
      </c>
      <c r="J77" s="1">
        <v>1</v>
      </c>
      <c r="K77" s="1" t="s">
        <v>27</v>
      </c>
      <c r="L77" s="1" t="s">
        <v>112</v>
      </c>
      <c r="M77" s="1" t="s">
        <v>285</v>
      </c>
      <c r="N77" s="1" t="s">
        <v>30</v>
      </c>
      <c r="O77" s="1" t="s">
        <v>232</v>
      </c>
      <c r="P77" s="1" t="s">
        <v>232</v>
      </c>
      <c r="Q77" s="1" t="s">
        <v>256</v>
      </c>
      <c r="R77" s="1" t="s">
        <v>21</v>
      </c>
      <c r="S77" s="1" t="s">
        <v>21</v>
      </c>
    </row>
    <row r="78" spans="1:19" x14ac:dyDescent="0.25">
      <c r="A78" s="1">
        <v>77</v>
      </c>
      <c r="B78" s="1" t="s">
        <v>99</v>
      </c>
      <c r="C78" s="1" t="s">
        <v>113</v>
      </c>
      <c r="D78" s="1" t="s">
        <v>21</v>
      </c>
      <c r="E78" s="1" t="s">
        <v>22</v>
      </c>
      <c r="F78" s="1" t="s">
        <v>23</v>
      </c>
      <c r="G78" s="1" t="s">
        <v>24</v>
      </c>
      <c r="H78" s="1" t="s">
        <v>1480</v>
      </c>
      <c r="I78" s="1" t="s">
        <v>26</v>
      </c>
      <c r="J78" s="1">
        <v>1</v>
      </c>
      <c r="K78" s="1" t="s">
        <v>27</v>
      </c>
      <c r="L78" s="1" t="s">
        <v>114</v>
      </c>
      <c r="M78" s="1" t="s">
        <v>29</v>
      </c>
      <c r="N78" s="1" t="s">
        <v>233</v>
      </c>
      <c r="O78" s="1" t="s">
        <v>234</v>
      </c>
      <c r="P78" s="1" t="s">
        <v>21</v>
      </c>
      <c r="Q78" s="1" t="s">
        <v>21</v>
      </c>
      <c r="R78" s="1" t="s">
        <v>109</v>
      </c>
      <c r="S78" s="1" t="s">
        <v>21</v>
      </c>
    </row>
    <row r="79" spans="1:19" x14ac:dyDescent="0.25">
      <c r="A79" s="1">
        <v>78</v>
      </c>
      <c r="B79" s="1" t="s">
        <v>103</v>
      </c>
      <c r="C79" s="1" t="s">
        <v>115</v>
      </c>
      <c r="D79" s="1" t="s">
        <v>21</v>
      </c>
      <c r="E79" s="1" t="s">
        <v>22</v>
      </c>
      <c r="F79" s="1" t="s">
        <v>23</v>
      </c>
      <c r="G79" s="1" t="s">
        <v>24</v>
      </c>
      <c r="H79" s="1" t="s">
        <v>1480</v>
      </c>
      <c r="I79" s="1" t="s">
        <v>26</v>
      </c>
      <c r="J79" s="1">
        <v>1</v>
      </c>
      <c r="K79" s="1" t="s">
        <v>27</v>
      </c>
      <c r="L79" s="1" t="s">
        <v>116</v>
      </c>
      <c r="M79" s="1" t="s">
        <v>29</v>
      </c>
      <c r="N79" s="1" t="s">
        <v>233</v>
      </c>
      <c r="O79" s="1" t="s">
        <v>234</v>
      </c>
      <c r="P79" s="1" t="s">
        <v>21</v>
      </c>
      <c r="Q79" s="1" t="s">
        <v>21</v>
      </c>
      <c r="R79" s="1" t="s">
        <v>109</v>
      </c>
      <c r="S79" s="1" t="s">
        <v>21</v>
      </c>
    </row>
    <row r="80" spans="1:19" x14ac:dyDescent="0.25">
      <c r="A80" s="1">
        <v>79</v>
      </c>
      <c r="B80" s="1" t="s">
        <v>91</v>
      </c>
      <c r="C80" s="1" t="s">
        <v>117</v>
      </c>
      <c r="D80" s="1" t="s">
        <v>21</v>
      </c>
      <c r="E80" s="1" t="s">
        <v>22</v>
      </c>
      <c r="F80" s="1" t="s">
        <v>23</v>
      </c>
      <c r="G80" s="1" t="s">
        <v>24</v>
      </c>
      <c r="H80" s="1" t="s">
        <v>33</v>
      </c>
      <c r="I80" s="1" t="s">
        <v>50</v>
      </c>
      <c r="J80" s="1">
        <v>1</v>
      </c>
      <c r="K80" s="1" t="s">
        <v>27</v>
      </c>
      <c r="L80" s="1" t="s">
        <v>118</v>
      </c>
      <c r="M80" s="1" t="s">
        <v>29</v>
      </c>
      <c r="N80" s="1" t="s">
        <v>233</v>
      </c>
      <c r="O80" s="1" t="s">
        <v>234</v>
      </c>
      <c r="P80" s="1" t="s">
        <v>21</v>
      </c>
      <c r="Q80" s="1" t="s">
        <v>21</v>
      </c>
      <c r="R80" s="1" t="s">
        <v>109</v>
      </c>
      <c r="S80" s="1" t="s">
        <v>21</v>
      </c>
    </row>
    <row r="81" spans="1:19" x14ac:dyDescent="0.25">
      <c r="A81" s="1">
        <v>80</v>
      </c>
      <c r="B81" s="1" t="s">
        <v>103</v>
      </c>
      <c r="C81" s="1" t="s">
        <v>119</v>
      </c>
      <c r="D81" s="1" t="s">
        <v>1444</v>
      </c>
      <c r="E81" s="1" t="s">
        <v>22</v>
      </c>
      <c r="F81" s="1" t="s">
        <v>23</v>
      </c>
      <c r="G81" s="1" t="s">
        <v>24</v>
      </c>
      <c r="H81" s="1" t="s">
        <v>1480</v>
      </c>
      <c r="I81" s="1" t="s">
        <v>56</v>
      </c>
      <c r="J81" s="1">
        <v>1</v>
      </c>
      <c r="K81" s="1" t="s">
        <v>27</v>
      </c>
      <c r="L81" s="1" t="s">
        <v>120</v>
      </c>
      <c r="M81" s="1" t="s">
        <v>285</v>
      </c>
      <c r="N81" s="1" t="s">
        <v>30</v>
      </c>
      <c r="O81" s="1" t="s">
        <v>232</v>
      </c>
      <c r="P81" s="1" t="s">
        <v>232</v>
      </c>
      <c r="Q81" s="1" t="s">
        <v>256</v>
      </c>
      <c r="R81" s="1" t="s">
        <v>21</v>
      </c>
      <c r="S81" s="1" t="s">
        <v>21</v>
      </c>
    </row>
    <row r="82" spans="1:19" x14ac:dyDescent="0.25">
      <c r="A82" s="1">
        <v>81</v>
      </c>
      <c r="B82" s="1" t="s">
        <v>95</v>
      </c>
      <c r="C82" s="1" t="s">
        <v>121</v>
      </c>
      <c r="D82" s="1" t="s">
        <v>21</v>
      </c>
      <c r="E82" s="1" t="s">
        <v>22</v>
      </c>
      <c r="F82" s="1" t="s">
        <v>23</v>
      </c>
      <c r="G82" s="1" t="s">
        <v>24</v>
      </c>
      <c r="H82" s="1" t="s">
        <v>1480</v>
      </c>
      <c r="I82" s="1" t="s">
        <v>97</v>
      </c>
      <c r="J82" s="1">
        <v>1</v>
      </c>
      <c r="K82" s="1" t="s">
        <v>27</v>
      </c>
      <c r="L82" s="1" t="s">
        <v>122</v>
      </c>
      <c r="M82" s="1" t="s">
        <v>29</v>
      </c>
      <c r="N82" s="1" t="s">
        <v>233</v>
      </c>
      <c r="O82" s="1" t="s">
        <v>234</v>
      </c>
      <c r="P82" s="1" t="s">
        <v>21</v>
      </c>
      <c r="Q82" s="1" t="s">
        <v>21</v>
      </c>
      <c r="R82" s="1" t="s">
        <v>123</v>
      </c>
      <c r="S82" s="1" t="s">
        <v>21</v>
      </c>
    </row>
    <row r="83" spans="1:19" x14ac:dyDescent="0.25">
      <c r="A83" s="1">
        <v>82</v>
      </c>
      <c r="B83" s="1" t="s">
        <v>110</v>
      </c>
      <c r="C83" s="1" t="s">
        <v>124</v>
      </c>
      <c r="D83" s="1" t="s">
        <v>1445</v>
      </c>
      <c r="E83" s="1" t="s">
        <v>22</v>
      </c>
      <c r="F83" s="1" t="s">
        <v>23</v>
      </c>
      <c r="G83" s="1" t="s">
        <v>24</v>
      </c>
      <c r="H83" s="1" t="s">
        <v>1480</v>
      </c>
      <c r="I83" s="1" t="s">
        <v>125</v>
      </c>
      <c r="J83" s="1">
        <v>1</v>
      </c>
      <c r="K83" s="1" t="s">
        <v>27</v>
      </c>
      <c r="L83" s="1" t="s">
        <v>126</v>
      </c>
      <c r="M83" s="1" t="s">
        <v>285</v>
      </c>
      <c r="N83" s="1" t="s">
        <v>30</v>
      </c>
      <c r="O83" s="1" t="s">
        <v>232</v>
      </c>
      <c r="P83" s="1" t="s">
        <v>232</v>
      </c>
      <c r="Q83" s="1" t="s">
        <v>256</v>
      </c>
      <c r="R83" s="1" t="s">
        <v>21</v>
      </c>
      <c r="S83" s="1" t="s">
        <v>21</v>
      </c>
    </row>
    <row r="84" spans="1:19" x14ac:dyDescent="0.25">
      <c r="A84" s="1">
        <v>83</v>
      </c>
      <c r="B84" s="1" t="s">
        <v>110</v>
      </c>
      <c r="C84" s="1" t="s">
        <v>127</v>
      </c>
      <c r="D84" s="1" t="s">
        <v>21</v>
      </c>
      <c r="E84" s="1" t="s">
        <v>22</v>
      </c>
      <c r="F84" s="1" t="s">
        <v>23</v>
      </c>
      <c r="G84" s="1" t="s">
        <v>24</v>
      </c>
      <c r="H84" s="1" t="s">
        <v>1480</v>
      </c>
      <c r="I84" s="1" t="s">
        <v>56</v>
      </c>
      <c r="J84" s="1">
        <v>1</v>
      </c>
      <c r="K84" s="1" t="s">
        <v>27</v>
      </c>
      <c r="L84" s="1" t="s">
        <v>128</v>
      </c>
      <c r="M84" s="1" t="s">
        <v>29</v>
      </c>
      <c r="N84" s="1" t="s">
        <v>233</v>
      </c>
      <c r="O84" s="1" t="s">
        <v>234</v>
      </c>
      <c r="P84" s="1" t="s">
        <v>21</v>
      </c>
      <c r="Q84" s="1" t="s">
        <v>21</v>
      </c>
      <c r="R84" s="1" t="s">
        <v>129</v>
      </c>
      <c r="S84" s="1" t="s">
        <v>21</v>
      </c>
    </row>
    <row r="85" spans="1:19" x14ac:dyDescent="0.25">
      <c r="A85" s="1">
        <v>84</v>
      </c>
      <c r="B85" s="1" t="s">
        <v>130</v>
      </c>
      <c r="C85" s="1" t="s">
        <v>131</v>
      </c>
      <c r="D85" s="1" t="s">
        <v>1446</v>
      </c>
      <c r="E85" s="1" t="s">
        <v>22</v>
      </c>
      <c r="F85" s="1" t="s">
        <v>23</v>
      </c>
      <c r="G85" s="1" t="s">
        <v>24</v>
      </c>
      <c r="H85" s="1" t="s">
        <v>33</v>
      </c>
      <c r="I85" s="1" t="s">
        <v>72</v>
      </c>
      <c r="J85" s="1">
        <v>9</v>
      </c>
      <c r="K85" s="1" t="s">
        <v>27</v>
      </c>
      <c r="L85" s="1" t="s">
        <v>132</v>
      </c>
      <c r="M85" s="1" t="s">
        <v>285</v>
      </c>
      <c r="N85" s="1" t="s">
        <v>30</v>
      </c>
      <c r="O85" s="1" t="s">
        <v>232</v>
      </c>
      <c r="P85" s="1" t="s">
        <v>232</v>
      </c>
      <c r="Q85" s="1" t="s">
        <v>256</v>
      </c>
      <c r="R85" s="1" t="s">
        <v>21</v>
      </c>
      <c r="S85" s="1" t="s">
        <v>21</v>
      </c>
    </row>
    <row r="86" spans="1:19" x14ac:dyDescent="0.25">
      <c r="A86" s="1">
        <v>85</v>
      </c>
      <c r="B86" s="1" t="s">
        <v>99</v>
      </c>
      <c r="C86" s="1" t="s">
        <v>133</v>
      </c>
      <c r="D86" s="1" t="s">
        <v>1447</v>
      </c>
      <c r="E86" s="1" t="s">
        <v>22</v>
      </c>
      <c r="F86" s="1" t="s">
        <v>23</v>
      </c>
      <c r="G86" s="1" t="s">
        <v>24</v>
      </c>
      <c r="H86" s="1" t="s">
        <v>1474</v>
      </c>
      <c r="I86" s="1" t="s">
        <v>135</v>
      </c>
      <c r="J86" s="1">
        <v>1</v>
      </c>
      <c r="K86" s="1" t="s">
        <v>27</v>
      </c>
      <c r="L86" s="1" t="s">
        <v>136</v>
      </c>
      <c r="M86" s="1" t="s">
        <v>285</v>
      </c>
      <c r="N86" s="1" t="s">
        <v>30</v>
      </c>
      <c r="O86" s="1" t="s">
        <v>232</v>
      </c>
      <c r="P86" s="1" t="s">
        <v>232</v>
      </c>
      <c r="Q86" s="1" t="s">
        <v>256</v>
      </c>
      <c r="R86" s="1" t="s">
        <v>21</v>
      </c>
      <c r="S86" s="1" t="s">
        <v>21</v>
      </c>
    </row>
    <row r="87" spans="1:19" x14ac:dyDescent="0.25">
      <c r="A87" s="1">
        <v>86</v>
      </c>
      <c r="B87" s="1" t="s">
        <v>99</v>
      </c>
      <c r="C87" s="1" t="s">
        <v>137</v>
      </c>
      <c r="D87" s="1" t="s">
        <v>21</v>
      </c>
      <c r="E87" s="1" t="s">
        <v>22</v>
      </c>
      <c r="F87" s="1" t="s">
        <v>23</v>
      </c>
      <c r="G87" s="1" t="s">
        <v>24</v>
      </c>
      <c r="H87" s="1" t="s">
        <v>1480</v>
      </c>
      <c r="I87" s="1" t="s">
        <v>26</v>
      </c>
      <c r="J87" s="1">
        <v>1</v>
      </c>
      <c r="K87" s="1" t="s">
        <v>27</v>
      </c>
      <c r="L87" s="1" t="s">
        <v>138</v>
      </c>
      <c r="M87" s="1" t="s">
        <v>29</v>
      </c>
      <c r="N87" s="1" t="s">
        <v>233</v>
      </c>
      <c r="O87" s="1" t="s">
        <v>234</v>
      </c>
      <c r="P87" s="1" t="s">
        <v>21</v>
      </c>
      <c r="Q87" s="1" t="s">
        <v>21</v>
      </c>
      <c r="R87" s="1" t="s">
        <v>139</v>
      </c>
      <c r="S87" s="1" t="s">
        <v>21</v>
      </c>
    </row>
    <row r="88" spans="1:19" x14ac:dyDescent="0.25">
      <c r="A88" s="1">
        <v>87</v>
      </c>
      <c r="B88" s="1" t="s">
        <v>140</v>
      </c>
      <c r="C88" s="1" t="s">
        <v>141</v>
      </c>
      <c r="D88" s="1" t="s">
        <v>1448</v>
      </c>
      <c r="E88" s="1" t="s">
        <v>22</v>
      </c>
      <c r="F88" s="1" t="s">
        <v>23</v>
      </c>
      <c r="G88" s="1" t="s">
        <v>24</v>
      </c>
      <c r="H88" s="1" t="s">
        <v>1480</v>
      </c>
      <c r="I88" s="1" t="s">
        <v>56</v>
      </c>
      <c r="J88" s="1">
        <v>1</v>
      </c>
      <c r="K88" s="1" t="s">
        <v>27</v>
      </c>
      <c r="L88" s="1" t="s">
        <v>142</v>
      </c>
      <c r="M88" s="1" t="s">
        <v>285</v>
      </c>
      <c r="N88" s="1" t="s">
        <v>30</v>
      </c>
      <c r="O88" s="1" t="s">
        <v>232</v>
      </c>
      <c r="P88" s="1" t="s">
        <v>232</v>
      </c>
      <c r="Q88" s="1" t="s">
        <v>256</v>
      </c>
      <c r="R88" s="1" t="s">
        <v>21</v>
      </c>
      <c r="S88" s="1" t="s">
        <v>21</v>
      </c>
    </row>
    <row r="89" spans="1:19" x14ac:dyDescent="0.25">
      <c r="A89" s="1">
        <v>88</v>
      </c>
      <c r="B89" s="1" t="s">
        <v>54</v>
      </c>
      <c r="C89" s="1" t="s">
        <v>143</v>
      </c>
      <c r="D89" s="1" t="s">
        <v>21</v>
      </c>
      <c r="E89" s="1" t="s">
        <v>22</v>
      </c>
      <c r="F89" s="1" t="s">
        <v>23</v>
      </c>
      <c r="G89" s="1" t="s">
        <v>24</v>
      </c>
      <c r="H89" s="1" t="s">
        <v>33</v>
      </c>
      <c r="I89" s="1" t="s">
        <v>144</v>
      </c>
      <c r="J89" s="1">
        <v>1</v>
      </c>
      <c r="K89" s="1" t="s">
        <v>27</v>
      </c>
      <c r="L89" s="1" t="s">
        <v>145</v>
      </c>
      <c r="M89" s="1" t="s">
        <v>29</v>
      </c>
      <c r="N89" s="1" t="s">
        <v>233</v>
      </c>
      <c r="O89" s="1" t="s">
        <v>234</v>
      </c>
      <c r="P89" s="1" t="s">
        <v>21</v>
      </c>
      <c r="Q89" s="1" t="s">
        <v>21</v>
      </c>
      <c r="R89" s="1" t="s">
        <v>123</v>
      </c>
      <c r="S89" s="1" t="s">
        <v>21</v>
      </c>
    </row>
    <row r="90" spans="1:19" x14ac:dyDescent="0.25">
      <c r="A90" s="1">
        <v>89</v>
      </c>
      <c r="B90" s="1" t="s">
        <v>103</v>
      </c>
      <c r="C90" s="1" t="s">
        <v>146</v>
      </c>
      <c r="D90" s="1" t="s">
        <v>21</v>
      </c>
      <c r="E90" s="1" t="s">
        <v>22</v>
      </c>
      <c r="F90" s="1" t="s">
        <v>23</v>
      </c>
      <c r="G90" s="1" t="s">
        <v>24</v>
      </c>
      <c r="H90" s="1" t="s">
        <v>1480</v>
      </c>
      <c r="I90" s="1" t="s">
        <v>26</v>
      </c>
      <c r="J90" s="1">
        <v>1</v>
      </c>
      <c r="K90" s="1" t="s">
        <v>27</v>
      </c>
      <c r="L90" s="1" t="s">
        <v>147</v>
      </c>
      <c r="M90" s="1" t="s">
        <v>29</v>
      </c>
      <c r="N90" s="1" t="s">
        <v>233</v>
      </c>
      <c r="O90" s="1" t="s">
        <v>234</v>
      </c>
      <c r="P90" s="1" t="s">
        <v>21</v>
      </c>
      <c r="Q90" s="1" t="s">
        <v>21</v>
      </c>
      <c r="R90" s="1" t="s">
        <v>123</v>
      </c>
      <c r="S90" s="1" t="s">
        <v>21</v>
      </c>
    </row>
    <row r="91" spans="1:19" x14ac:dyDescent="0.25">
      <c r="A91" s="1">
        <v>90</v>
      </c>
      <c r="B91" s="1" t="s">
        <v>103</v>
      </c>
      <c r="C91" s="1" t="s">
        <v>148</v>
      </c>
      <c r="D91" s="1" t="s">
        <v>21</v>
      </c>
      <c r="E91" s="1" t="s">
        <v>22</v>
      </c>
      <c r="F91" s="1" t="s">
        <v>23</v>
      </c>
      <c r="G91" s="1" t="s">
        <v>24</v>
      </c>
      <c r="H91" s="1" t="s">
        <v>1480</v>
      </c>
      <c r="I91" s="1" t="s">
        <v>125</v>
      </c>
      <c r="J91" s="1">
        <v>1</v>
      </c>
      <c r="K91" s="1" t="s">
        <v>27</v>
      </c>
      <c r="L91" s="1" t="s">
        <v>149</v>
      </c>
      <c r="M91" s="1" t="s">
        <v>29</v>
      </c>
      <c r="N91" s="1" t="s">
        <v>233</v>
      </c>
      <c r="O91" s="1" t="s">
        <v>234</v>
      </c>
      <c r="P91" s="1" t="s">
        <v>21</v>
      </c>
      <c r="Q91" s="1" t="s">
        <v>21</v>
      </c>
      <c r="R91" s="1" t="s">
        <v>123</v>
      </c>
      <c r="S91" s="1" t="s">
        <v>21</v>
      </c>
    </row>
    <row r="92" spans="1:19" x14ac:dyDescent="0.25">
      <c r="A92" s="1">
        <v>91</v>
      </c>
      <c r="B92" s="1" t="s">
        <v>103</v>
      </c>
      <c r="C92" s="1" t="s">
        <v>150</v>
      </c>
      <c r="D92" s="1" t="s">
        <v>1449</v>
      </c>
      <c r="E92" s="1" t="s">
        <v>22</v>
      </c>
      <c r="F92" s="1" t="s">
        <v>23</v>
      </c>
      <c r="G92" s="1" t="s">
        <v>24</v>
      </c>
      <c r="H92" s="1" t="s">
        <v>1480</v>
      </c>
      <c r="I92" s="1" t="s">
        <v>125</v>
      </c>
      <c r="J92" s="1">
        <v>1</v>
      </c>
      <c r="K92" s="1" t="s">
        <v>27</v>
      </c>
      <c r="L92" s="1" t="s">
        <v>151</v>
      </c>
      <c r="M92" s="1" t="s">
        <v>285</v>
      </c>
      <c r="N92" s="1" t="s">
        <v>30</v>
      </c>
      <c r="O92" s="1" t="s">
        <v>232</v>
      </c>
      <c r="P92" s="1" t="s">
        <v>232</v>
      </c>
      <c r="Q92" s="1" t="s">
        <v>256</v>
      </c>
      <c r="R92" s="1" t="s">
        <v>21</v>
      </c>
      <c r="S92" s="1" t="s">
        <v>21</v>
      </c>
    </row>
    <row r="93" spans="1:19" x14ac:dyDescent="0.25">
      <c r="A93" s="1">
        <v>92</v>
      </c>
      <c r="B93" s="1" t="s">
        <v>48</v>
      </c>
      <c r="C93" s="1" t="s">
        <v>152</v>
      </c>
      <c r="D93" s="1" t="s">
        <v>21</v>
      </c>
      <c r="E93" s="1" t="s">
        <v>22</v>
      </c>
      <c r="F93" s="1" t="s">
        <v>23</v>
      </c>
      <c r="G93" s="1" t="s">
        <v>24</v>
      </c>
      <c r="H93" s="1" t="s">
        <v>33</v>
      </c>
      <c r="I93" s="1" t="s">
        <v>41</v>
      </c>
      <c r="J93" s="1">
        <v>2</v>
      </c>
      <c r="K93" s="1" t="s">
        <v>27</v>
      </c>
      <c r="L93" s="1" t="s">
        <v>153</v>
      </c>
      <c r="M93" s="1" t="s">
        <v>79</v>
      </c>
      <c r="N93" s="1" t="s">
        <v>261</v>
      </c>
      <c r="O93" s="1" t="s">
        <v>232</v>
      </c>
      <c r="P93" s="1" t="s">
        <v>262</v>
      </c>
      <c r="Q93" s="1" t="s">
        <v>21</v>
      </c>
      <c r="R93" s="1" t="s">
        <v>286</v>
      </c>
      <c r="S93" s="1" t="s">
        <v>287</v>
      </c>
    </row>
    <row r="94" spans="1:19" x14ac:dyDescent="0.25">
      <c r="A94" s="1">
        <v>93</v>
      </c>
      <c r="B94" s="1" t="s">
        <v>154</v>
      </c>
      <c r="C94" s="1" t="s">
        <v>155</v>
      </c>
      <c r="D94" s="1" t="s">
        <v>1450</v>
      </c>
      <c r="E94" s="1" t="s">
        <v>22</v>
      </c>
      <c r="F94" s="1" t="s">
        <v>23</v>
      </c>
      <c r="G94" s="1" t="s">
        <v>24</v>
      </c>
      <c r="H94" s="1" t="s">
        <v>1480</v>
      </c>
      <c r="I94" s="1" t="s">
        <v>56</v>
      </c>
      <c r="J94" s="1">
        <v>1</v>
      </c>
      <c r="K94" s="1" t="s">
        <v>27</v>
      </c>
      <c r="L94" s="1" t="s">
        <v>156</v>
      </c>
      <c r="M94" s="1" t="s">
        <v>285</v>
      </c>
      <c r="N94" s="1" t="s">
        <v>30</v>
      </c>
      <c r="O94" s="1" t="s">
        <v>232</v>
      </c>
      <c r="P94" s="1" t="s">
        <v>232</v>
      </c>
      <c r="Q94" s="1" t="s">
        <v>256</v>
      </c>
      <c r="R94" s="1" t="s">
        <v>21</v>
      </c>
      <c r="S94" s="1" t="s">
        <v>21</v>
      </c>
    </row>
    <row r="95" spans="1:19" x14ac:dyDescent="0.25">
      <c r="A95" s="1">
        <v>94</v>
      </c>
      <c r="B95" s="1" t="s">
        <v>157</v>
      </c>
      <c r="C95" s="1" t="s">
        <v>158</v>
      </c>
      <c r="D95" s="1" t="s">
        <v>21</v>
      </c>
      <c r="E95" s="1" t="s">
        <v>22</v>
      </c>
      <c r="F95" s="1" t="s">
        <v>23</v>
      </c>
      <c r="G95" s="1" t="s">
        <v>24</v>
      </c>
      <c r="H95" s="1" t="s">
        <v>159</v>
      </c>
      <c r="I95" s="1" t="s">
        <v>160</v>
      </c>
      <c r="J95" s="1">
        <v>1</v>
      </c>
      <c r="K95" s="1" t="s">
        <v>27</v>
      </c>
      <c r="L95" s="1" t="s">
        <v>161</v>
      </c>
      <c r="M95" s="1" t="s">
        <v>79</v>
      </c>
      <c r="N95" s="1" t="s">
        <v>30</v>
      </c>
      <c r="O95" s="1" t="s">
        <v>232</v>
      </c>
      <c r="P95" s="1" t="s">
        <v>284</v>
      </c>
      <c r="Q95" s="1" t="s">
        <v>21</v>
      </c>
      <c r="R95" s="1" t="s">
        <v>21</v>
      </c>
      <c r="S95" s="1" t="s">
        <v>21</v>
      </c>
    </row>
    <row r="96" spans="1:19" x14ac:dyDescent="0.25">
      <c r="A96" s="1">
        <v>95</v>
      </c>
      <c r="B96" s="1" t="s">
        <v>162</v>
      </c>
      <c r="C96" s="1" t="s">
        <v>163</v>
      </c>
      <c r="D96" s="1" t="s">
        <v>21</v>
      </c>
      <c r="E96" s="1" t="s">
        <v>22</v>
      </c>
      <c r="F96" s="1" t="s">
        <v>23</v>
      </c>
      <c r="G96" s="1" t="s">
        <v>24</v>
      </c>
      <c r="H96" s="1" t="s">
        <v>159</v>
      </c>
      <c r="I96" s="1" t="s">
        <v>164</v>
      </c>
      <c r="J96" s="1">
        <v>1</v>
      </c>
      <c r="K96" s="1" t="s">
        <v>27</v>
      </c>
      <c r="L96" s="1" t="s">
        <v>165</v>
      </c>
      <c r="M96" s="1" t="s">
        <v>79</v>
      </c>
      <c r="N96" s="1" t="s">
        <v>30</v>
      </c>
      <c r="O96" s="1" t="s">
        <v>232</v>
      </c>
      <c r="P96" s="1" t="s">
        <v>284</v>
      </c>
      <c r="Q96" s="1" t="s">
        <v>21</v>
      </c>
      <c r="R96" s="1" t="s">
        <v>21</v>
      </c>
      <c r="S96" s="1" t="s">
        <v>21</v>
      </c>
    </row>
    <row r="97" spans="1:19" x14ac:dyDescent="0.25">
      <c r="A97" s="1">
        <v>96</v>
      </c>
      <c r="B97" s="1" t="s">
        <v>166</v>
      </c>
      <c r="C97" s="1" t="s">
        <v>167</v>
      </c>
      <c r="D97" s="1" t="s">
        <v>1451</v>
      </c>
      <c r="E97" s="1" t="s">
        <v>22</v>
      </c>
      <c r="F97" s="1" t="s">
        <v>23</v>
      </c>
      <c r="G97" s="1" t="s">
        <v>24</v>
      </c>
      <c r="H97" s="1" t="s">
        <v>33</v>
      </c>
      <c r="I97" s="1" t="s">
        <v>72</v>
      </c>
      <c r="J97" s="1">
        <v>5</v>
      </c>
      <c r="K97" s="1" t="s">
        <v>27</v>
      </c>
      <c r="L97" s="1" t="s">
        <v>168</v>
      </c>
      <c r="M97" s="1" t="s">
        <v>285</v>
      </c>
      <c r="N97" s="1" t="s">
        <v>30</v>
      </c>
      <c r="O97" s="1" t="s">
        <v>232</v>
      </c>
      <c r="P97" s="1" t="s">
        <v>232</v>
      </c>
      <c r="Q97" s="1" t="s">
        <v>256</v>
      </c>
      <c r="R97" s="1" t="s">
        <v>21</v>
      </c>
      <c r="S97" s="1" t="s">
        <v>21</v>
      </c>
    </row>
    <row r="98" spans="1:19" x14ac:dyDescent="0.25">
      <c r="A98" s="1">
        <v>97</v>
      </c>
      <c r="B98" s="1" t="s">
        <v>169</v>
      </c>
      <c r="C98" s="1" t="s">
        <v>170</v>
      </c>
      <c r="D98" s="1" t="s">
        <v>1452</v>
      </c>
      <c r="E98" s="1" t="s">
        <v>22</v>
      </c>
      <c r="F98" s="1" t="s">
        <v>23</v>
      </c>
      <c r="G98" s="1" t="s">
        <v>24</v>
      </c>
      <c r="H98" s="1" t="s">
        <v>1480</v>
      </c>
      <c r="I98" s="1" t="s">
        <v>171</v>
      </c>
      <c r="J98" s="1">
        <v>1</v>
      </c>
      <c r="K98" s="1" t="s">
        <v>27</v>
      </c>
      <c r="L98" s="1" t="s">
        <v>172</v>
      </c>
      <c r="M98" s="1" t="s">
        <v>285</v>
      </c>
      <c r="N98" s="1" t="s">
        <v>30</v>
      </c>
      <c r="O98" s="1" t="s">
        <v>232</v>
      </c>
      <c r="P98" s="1" t="s">
        <v>232</v>
      </c>
      <c r="Q98" s="1" t="s">
        <v>256</v>
      </c>
      <c r="R98" s="1" t="s">
        <v>21</v>
      </c>
      <c r="S98" s="1" t="s">
        <v>21</v>
      </c>
    </row>
    <row r="99" spans="1:19" x14ac:dyDescent="0.25">
      <c r="A99" s="1">
        <v>98</v>
      </c>
      <c r="B99" s="1" t="s">
        <v>173</v>
      </c>
      <c r="C99" s="1" t="s">
        <v>174</v>
      </c>
      <c r="D99" s="1" t="s">
        <v>1453</v>
      </c>
      <c r="E99" s="1" t="s">
        <v>22</v>
      </c>
      <c r="F99" s="1" t="s">
        <v>23</v>
      </c>
      <c r="G99" s="1" t="s">
        <v>24</v>
      </c>
      <c r="H99" s="1" t="s">
        <v>1480</v>
      </c>
      <c r="I99" s="1" t="s">
        <v>125</v>
      </c>
      <c r="J99" s="1">
        <v>1</v>
      </c>
      <c r="K99" s="1" t="s">
        <v>27</v>
      </c>
      <c r="L99" s="1" t="s">
        <v>175</v>
      </c>
      <c r="M99" s="1" t="s">
        <v>285</v>
      </c>
      <c r="N99" s="1" t="s">
        <v>30</v>
      </c>
      <c r="O99" s="1" t="s">
        <v>232</v>
      </c>
      <c r="P99" s="1" t="s">
        <v>232</v>
      </c>
      <c r="Q99" s="1" t="s">
        <v>256</v>
      </c>
      <c r="R99" s="1" t="s">
        <v>21</v>
      </c>
      <c r="S99" s="1" t="s">
        <v>21</v>
      </c>
    </row>
    <row r="100" spans="1:19" x14ac:dyDescent="0.25">
      <c r="A100" s="1">
        <v>99</v>
      </c>
      <c r="B100" s="1" t="s">
        <v>176</v>
      </c>
      <c r="C100" s="1" t="s">
        <v>177</v>
      </c>
      <c r="D100" s="1" t="s">
        <v>1454</v>
      </c>
      <c r="E100" s="1" t="s">
        <v>22</v>
      </c>
      <c r="F100" s="1" t="s">
        <v>23</v>
      </c>
      <c r="G100" s="1" t="s">
        <v>24</v>
      </c>
      <c r="H100" s="1" t="s">
        <v>33</v>
      </c>
      <c r="I100" s="1" t="s">
        <v>41</v>
      </c>
      <c r="J100" s="1">
        <v>1</v>
      </c>
      <c r="K100" s="1" t="s">
        <v>27</v>
      </c>
      <c r="L100" s="1" t="s">
        <v>178</v>
      </c>
      <c r="M100" s="1" t="s">
        <v>285</v>
      </c>
      <c r="N100" s="1" t="s">
        <v>30</v>
      </c>
      <c r="O100" s="1" t="s">
        <v>232</v>
      </c>
      <c r="P100" s="1" t="s">
        <v>232</v>
      </c>
      <c r="Q100" s="1" t="s">
        <v>256</v>
      </c>
      <c r="R100" s="1" t="s">
        <v>21</v>
      </c>
      <c r="S100" s="1" t="s">
        <v>21</v>
      </c>
    </row>
    <row r="101" spans="1:19" x14ac:dyDescent="0.25">
      <c r="A101" s="1">
        <v>100</v>
      </c>
      <c r="B101" s="1" t="s">
        <v>179</v>
      </c>
      <c r="C101" s="1" t="s">
        <v>180</v>
      </c>
      <c r="D101" s="1" t="s">
        <v>1455</v>
      </c>
      <c r="E101" s="1" t="s">
        <v>22</v>
      </c>
      <c r="F101" s="1" t="s">
        <v>23</v>
      </c>
      <c r="G101" s="1" t="s">
        <v>24</v>
      </c>
      <c r="H101" s="1" t="s">
        <v>1480</v>
      </c>
      <c r="I101" s="1" t="s">
        <v>26</v>
      </c>
      <c r="J101" s="1">
        <v>1</v>
      </c>
      <c r="K101" s="1" t="s">
        <v>27</v>
      </c>
      <c r="L101" s="1" t="s">
        <v>181</v>
      </c>
      <c r="M101" s="1" t="s">
        <v>285</v>
      </c>
      <c r="N101" s="1" t="s">
        <v>30</v>
      </c>
      <c r="O101" s="1" t="s">
        <v>232</v>
      </c>
      <c r="P101" s="1" t="s">
        <v>232</v>
      </c>
      <c r="Q101" s="1" t="s">
        <v>256</v>
      </c>
      <c r="R101" s="1" t="s">
        <v>21</v>
      </c>
      <c r="S101" s="1" t="s">
        <v>21</v>
      </c>
    </row>
    <row r="102" spans="1:19" x14ac:dyDescent="0.25">
      <c r="A102" s="1">
        <v>101</v>
      </c>
      <c r="B102" s="1" t="s">
        <v>182</v>
      </c>
      <c r="C102" s="1" t="s">
        <v>183</v>
      </c>
      <c r="D102" s="1" t="s">
        <v>1456</v>
      </c>
      <c r="E102" s="1" t="s">
        <v>22</v>
      </c>
      <c r="F102" s="1" t="s">
        <v>23</v>
      </c>
      <c r="G102" s="1" t="s">
        <v>24</v>
      </c>
      <c r="H102" s="1" t="s">
        <v>1480</v>
      </c>
      <c r="I102" s="1" t="s">
        <v>56</v>
      </c>
      <c r="J102" s="1">
        <v>1</v>
      </c>
      <c r="K102" s="1" t="s">
        <v>27</v>
      </c>
      <c r="L102" s="1" t="s">
        <v>184</v>
      </c>
      <c r="M102" s="1" t="s">
        <v>285</v>
      </c>
      <c r="N102" s="1" t="s">
        <v>30</v>
      </c>
      <c r="O102" s="1" t="s">
        <v>232</v>
      </c>
      <c r="P102" s="1" t="s">
        <v>232</v>
      </c>
      <c r="Q102" s="1" t="s">
        <v>256</v>
      </c>
      <c r="R102" s="1" t="s">
        <v>21</v>
      </c>
      <c r="S102" s="1" t="s">
        <v>21</v>
      </c>
    </row>
    <row r="103" spans="1:19" x14ac:dyDescent="0.25">
      <c r="A103" s="1">
        <v>102</v>
      </c>
      <c r="B103" s="1" t="s">
        <v>182</v>
      </c>
      <c r="C103" s="1" t="s">
        <v>185</v>
      </c>
      <c r="D103" s="1" t="s">
        <v>1457</v>
      </c>
      <c r="E103" s="1" t="s">
        <v>22</v>
      </c>
      <c r="F103" s="1" t="s">
        <v>23</v>
      </c>
      <c r="G103" s="1" t="s">
        <v>24</v>
      </c>
      <c r="H103" s="1" t="s">
        <v>1480</v>
      </c>
      <c r="I103" s="1" t="s">
        <v>125</v>
      </c>
      <c r="J103" s="1">
        <v>1</v>
      </c>
      <c r="K103" s="1" t="s">
        <v>27</v>
      </c>
      <c r="L103" s="1" t="s">
        <v>186</v>
      </c>
      <c r="M103" s="1" t="s">
        <v>285</v>
      </c>
      <c r="N103" s="1" t="s">
        <v>30</v>
      </c>
      <c r="O103" s="1" t="s">
        <v>232</v>
      </c>
      <c r="P103" s="1" t="s">
        <v>232</v>
      </c>
      <c r="Q103" s="1" t="s">
        <v>256</v>
      </c>
      <c r="R103" s="1" t="s">
        <v>21</v>
      </c>
      <c r="S103" s="1" t="s">
        <v>21</v>
      </c>
    </row>
    <row r="104" spans="1:19" x14ac:dyDescent="0.25">
      <c r="A104" s="1">
        <v>103</v>
      </c>
      <c r="B104" s="1" t="s">
        <v>187</v>
      </c>
      <c r="C104" s="1" t="s">
        <v>188</v>
      </c>
      <c r="D104" s="1" t="s">
        <v>1458</v>
      </c>
      <c r="E104" s="1" t="s">
        <v>22</v>
      </c>
      <c r="F104" s="1" t="s">
        <v>23</v>
      </c>
      <c r="G104" s="1" t="s">
        <v>24</v>
      </c>
      <c r="H104" s="1" t="s">
        <v>33</v>
      </c>
      <c r="I104" s="1" t="s">
        <v>41</v>
      </c>
      <c r="J104" s="1">
        <v>3</v>
      </c>
      <c r="K104" s="1" t="s">
        <v>27</v>
      </c>
      <c r="L104" s="1" t="s">
        <v>189</v>
      </c>
      <c r="M104" s="1" t="s">
        <v>285</v>
      </c>
      <c r="N104" s="1" t="s">
        <v>30</v>
      </c>
      <c r="O104" s="1" t="s">
        <v>232</v>
      </c>
      <c r="P104" s="1" t="s">
        <v>232</v>
      </c>
      <c r="Q104" s="1" t="s">
        <v>256</v>
      </c>
      <c r="R104" s="1" t="s">
        <v>21</v>
      </c>
      <c r="S104" s="1" t="s">
        <v>21</v>
      </c>
    </row>
    <row r="105" spans="1:19" x14ac:dyDescent="0.25">
      <c r="A105" s="1">
        <v>104</v>
      </c>
      <c r="B105" s="1" t="s">
        <v>190</v>
      </c>
      <c r="C105" s="1" t="s">
        <v>191</v>
      </c>
      <c r="D105" s="1" t="s">
        <v>1459</v>
      </c>
      <c r="E105" s="1" t="s">
        <v>22</v>
      </c>
      <c r="F105" s="1" t="s">
        <v>23</v>
      </c>
      <c r="G105" s="1" t="s">
        <v>24</v>
      </c>
      <c r="H105" s="1" t="s">
        <v>1480</v>
      </c>
      <c r="I105" s="1" t="s">
        <v>171</v>
      </c>
      <c r="J105" s="1">
        <v>1</v>
      </c>
      <c r="K105" s="1" t="s">
        <v>27</v>
      </c>
      <c r="L105" s="1" t="s">
        <v>192</v>
      </c>
      <c r="M105" s="1" t="s">
        <v>285</v>
      </c>
      <c r="N105" s="1" t="s">
        <v>30</v>
      </c>
      <c r="O105" s="1" t="s">
        <v>232</v>
      </c>
      <c r="P105" s="1" t="s">
        <v>232</v>
      </c>
      <c r="Q105" s="1" t="s">
        <v>256</v>
      </c>
      <c r="R105" s="1" t="s">
        <v>21</v>
      </c>
      <c r="S105" s="1" t="s">
        <v>21</v>
      </c>
    </row>
    <row r="106" spans="1:19" x14ac:dyDescent="0.25">
      <c r="A106" s="1">
        <v>105</v>
      </c>
      <c r="B106" s="1" t="s">
        <v>54</v>
      </c>
      <c r="C106" s="1" t="s">
        <v>193</v>
      </c>
      <c r="D106" s="1" t="s">
        <v>21</v>
      </c>
      <c r="E106" s="1" t="s">
        <v>22</v>
      </c>
      <c r="F106" s="1" t="s">
        <v>23</v>
      </c>
      <c r="G106" s="1" t="s">
        <v>24</v>
      </c>
      <c r="H106" s="1" t="s">
        <v>159</v>
      </c>
      <c r="I106" s="1" t="s">
        <v>160</v>
      </c>
      <c r="J106" s="1">
        <v>1</v>
      </c>
      <c r="K106" s="1" t="s">
        <v>27</v>
      </c>
      <c r="L106" s="1" t="s">
        <v>194</v>
      </c>
      <c r="M106" s="1" t="s">
        <v>79</v>
      </c>
      <c r="N106" s="1" t="s">
        <v>30</v>
      </c>
      <c r="O106" s="1" t="s">
        <v>232</v>
      </c>
      <c r="P106" s="1" t="s">
        <v>284</v>
      </c>
      <c r="Q106" s="1" t="s">
        <v>21</v>
      </c>
      <c r="R106" s="1" t="s">
        <v>21</v>
      </c>
      <c r="S106" s="1" t="s">
        <v>21</v>
      </c>
    </row>
  </sheetData>
  <autoFilter ref="A1:S1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1FFA-F006-4A5C-9B6A-B7BB1E1DF53F}">
  <dimension ref="A1:S106"/>
  <sheetViews>
    <sheetView tabSelected="1" topLeftCell="F64" zoomScale="85" zoomScaleNormal="85" workbookViewId="0">
      <selection activeCell="S106" sqref="S106"/>
    </sheetView>
  </sheetViews>
  <sheetFormatPr defaultRowHeight="15" x14ac:dyDescent="0.25"/>
  <cols>
    <col min="1" max="1" width="49.5703125" bestFit="1" customWidth="1"/>
    <col min="2" max="2" width="9.42578125" bestFit="1" customWidth="1"/>
    <col min="3" max="3" width="31.42578125" bestFit="1" customWidth="1"/>
    <col min="4" max="4" width="21" bestFit="1" customWidth="1"/>
    <col min="5" max="5" width="22.140625" bestFit="1" customWidth="1"/>
    <col min="6" max="6" width="8.85546875" bestFit="1" customWidth="1"/>
    <col min="7" max="7" width="10.28515625" bestFit="1" customWidth="1"/>
    <col min="8" max="8" width="51.85546875" bestFit="1" customWidth="1"/>
    <col min="9" max="9" width="8.7109375" bestFit="1" customWidth="1"/>
    <col min="10" max="10" width="18.28515625" bestFit="1" customWidth="1"/>
    <col min="11" max="11" width="18.5703125" bestFit="1" customWidth="1"/>
    <col min="12" max="12" width="18.140625" bestFit="1" customWidth="1"/>
    <col min="13" max="13" width="22.28515625" bestFit="1" customWidth="1"/>
    <col min="14" max="14" width="18.42578125" bestFit="1" customWidth="1"/>
    <col min="15" max="15" width="18.140625" bestFit="1" customWidth="1"/>
    <col min="16" max="16" width="20.28515625" bestFit="1" customWidth="1"/>
    <col min="17" max="17" width="24" bestFit="1" customWidth="1"/>
    <col min="18" max="18" width="20" bestFit="1" customWidth="1"/>
    <col min="19" max="19" width="37.5703125" bestFit="1" customWidth="1"/>
    <col min="20" max="20" width="17.140625" bestFit="1" customWidth="1"/>
  </cols>
  <sheetData>
    <row r="1" spans="1:19" x14ac:dyDescent="0.25">
      <c r="A1" s="3" t="s">
        <v>2</v>
      </c>
      <c r="B1" s="4" t="s">
        <v>292</v>
      </c>
      <c r="C1" s="4" t="s">
        <v>293</v>
      </c>
      <c r="D1" s="4" t="s">
        <v>294</v>
      </c>
      <c r="E1" s="4" t="s">
        <v>295</v>
      </c>
      <c r="F1" s="4" t="s">
        <v>1400</v>
      </c>
      <c r="G1" s="4" t="s">
        <v>1401</v>
      </c>
      <c r="H1" s="5" t="s">
        <v>8</v>
      </c>
      <c r="I1" s="5" t="s">
        <v>9</v>
      </c>
      <c r="J1" s="4" t="s">
        <v>12</v>
      </c>
      <c r="K1" s="5" t="s">
        <v>14</v>
      </c>
      <c r="L1" s="5" t="s">
        <v>15</v>
      </c>
      <c r="M1" s="5" t="s">
        <v>16</v>
      </c>
      <c r="N1" s="4" t="s">
        <v>1402</v>
      </c>
      <c r="O1" s="4" t="s">
        <v>1409</v>
      </c>
      <c r="P1" s="4" t="s">
        <v>296</v>
      </c>
      <c r="Q1" s="4" t="s">
        <v>297</v>
      </c>
      <c r="R1" s="4" t="s">
        <v>298</v>
      </c>
      <c r="S1" s="4" t="s">
        <v>1403</v>
      </c>
    </row>
    <row r="2" spans="1:19" x14ac:dyDescent="0.25">
      <c r="A2" s="1" t="s">
        <v>1471</v>
      </c>
      <c r="B2" s="1" t="s">
        <v>1178</v>
      </c>
      <c r="C2" t="str">
        <f>_xlfn.XLOOKUP(B2,Engpar!A:A,Engpar!C:C)</f>
        <v>RIAM BATANG</v>
      </c>
      <c r="D2" t="str">
        <f>_xlfn.XLOOKUP(B2,Engpar!A:A,Engpar!F:F)</f>
        <v>KALIMANTAN TENGAH</v>
      </c>
      <c r="E2" t="str">
        <f>_xlfn.XLOOKUP(B2,Engpar!A:A,Engpar!G:G)</f>
        <v>SERUYAN</v>
      </c>
      <c r="F2">
        <f>_xlfn.XLOOKUP(B2,Engpar!A:A,Engpar!J:J)</f>
        <v>-0.86212</v>
      </c>
      <c r="G2">
        <f>_xlfn.XLOOKUP(B2,Engpar!A:A,Engpar!K:K)</f>
        <v>112.08056999999999</v>
      </c>
      <c r="H2" t="str">
        <f>_xlfn.XLOOKUP(A2,Claim!C:C,Claim!I:I)</f>
        <v>BATERAI</v>
      </c>
      <c r="I2">
        <f>_xlfn.XLOOKUP(A2,Claim!C:C,Claim!J:J)</f>
        <v>1</v>
      </c>
      <c r="J2" t="str">
        <f>_xlfn.XLOOKUP(A2,Claim!C:C,Claim!M:M)</f>
        <v>PRE_APPROVAL</v>
      </c>
      <c r="K2" t="str">
        <f>_xlfn.XLOOKUP(A2,Claim!C:C,Claim!O:O)</f>
        <v>KSO Pending</v>
      </c>
      <c r="L2" t="str">
        <f>_xlfn.XLOOKUP(A2,Claim!C:C,Claim!P:P)</f>
        <v>-</v>
      </c>
      <c r="M2" t="str">
        <f>_xlfn.XLOOKUP(A2,Claim!C:C,Claim!Q:Q)</f>
        <v>-</v>
      </c>
      <c r="N2" t="str" cm="1">
        <f t="array" ref="N2">_xlfn.IFS(
   OR(L2="Cancel", L2="Canceled", L2="Reject", L2="Rejected"), "Cancel / Rejected",
   AND(OR(J2="Request_Garansi", J2="Perbaikan_Asset"), OR(L2="Approved", L2="PMO Pending")), "MSS Need Send",
   TRUE, "Waiting Approval"
)</f>
        <v>Waiting Approval</v>
      </c>
      <c r="O2" t="str" cm="1">
        <f t="array" ref="O2">_xlfn.IFS(
   OR(M2="Cancel", M2="Canceled", M2="Reject", M2="Rejected", K2="Cancel", K2="Canceled", K2="Reject", K2="Rejected", L2="Cancel", L2="Canceled", L2="Reject", L2="Rejected"), "Cancel / Rejected",
   AND(OR(J2="Perbaikan_Asset"), OR(M2="KSO Pending")), "KSO Need Send",
   TRUE, "Waiting Approval"
)</f>
        <v>Waiting Approval</v>
      </c>
      <c r="Q2" t="str" cm="1">
        <f t="array" ref="Q2">_xlfn.IFS(
   OR(M2="Cancel", M2="Canceled", M2="Reject", M2="Rejected", K2="Cancel", K2="Canceled", K2="Reject", K2="Rejected", L2="Cancel", L2="Canceled", L2="Reject", L2="Rejected"), "Cancel / Rejected",
   P2&lt;&gt;"", "MSS Done Send",
   N2="MSS Need Send", "MSS Need Send",
   TRUE, "Waiting Approval"
)</f>
        <v>Waiting Approval</v>
      </c>
      <c r="S2" t="str" cm="1">
        <f t="array" ref="S2">_xlfn.IFS(
   OR(M2="Cancel", M2="Canceled", M2="Reject", M2="Rejected", K2="Cancel", K2="Canceled", K2="Reject", K2="Rejected", L2="Cancel", L2="Canceled", L2="Reject", L2="Rejected"), "Cancel / Rejected",
   R2&lt;&gt;"", "KSO Done Send",
   Q2="MSS Need Send", "MSS Need Send",
   O2="KSO Need Send", "KSO Need Send",
   TRUE, "Waiting Approval"
)</f>
        <v>Waiting Approval</v>
      </c>
    </row>
    <row r="3" spans="1:19" x14ac:dyDescent="0.25">
      <c r="A3" s="1" t="s">
        <v>1473</v>
      </c>
      <c r="B3" s="1" t="s">
        <v>1178</v>
      </c>
      <c r="C3" t="str">
        <f>_xlfn.XLOOKUP(B3,Engpar!A:A,Engpar!C:C)</f>
        <v>RIAM BATANG</v>
      </c>
      <c r="D3" t="str">
        <f>_xlfn.XLOOKUP(B3,Engpar!A:A,Engpar!F:F)</f>
        <v>KALIMANTAN TENGAH</v>
      </c>
      <c r="E3" t="str">
        <f>_xlfn.XLOOKUP(B3,Engpar!A:A,Engpar!G:G)</f>
        <v>SERUYAN</v>
      </c>
      <c r="F3">
        <f>_xlfn.XLOOKUP(B3,Engpar!A:A,Engpar!J:J)</f>
        <v>-0.86212</v>
      </c>
      <c r="G3">
        <f>_xlfn.XLOOKUP(B3,Engpar!A:A,Engpar!K:K)</f>
        <v>112.08056999999999</v>
      </c>
      <c r="H3" t="str">
        <f>_xlfn.XLOOKUP(A3,Claim!C:C,Claim!I:I)</f>
        <v>YARD LAMP</v>
      </c>
      <c r="I3">
        <f>_xlfn.XLOOKUP(A3,Claim!C:C,Claim!J:J)</f>
        <v>1</v>
      </c>
      <c r="J3" t="str">
        <f>_xlfn.XLOOKUP(A3,Claim!C:C,Claim!M:M)</f>
        <v>PRE_APPROVAL</v>
      </c>
      <c r="K3" t="str">
        <f>_xlfn.XLOOKUP(A3,Claim!C:C,Claim!O:O)</f>
        <v>KSO Pending</v>
      </c>
      <c r="L3" t="str">
        <f>_xlfn.XLOOKUP(A3,Claim!C:C,Claim!P:P)</f>
        <v>-</v>
      </c>
      <c r="M3" t="str">
        <f>_xlfn.XLOOKUP(A3,Claim!C:C,Claim!Q:Q)</f>
        <v>-</v>
      </c>
      <c r="N3" t="str" cm="1">
        <f t="array" ref="N3">_xlfn.IFS(
   OR(L3="Cancel", L3="Canceled", L3="Reject", L3="Rejected"), "Cancel / Rejected",
   AND(OR(J3="Request_Garansi", J3="Perbaikan_Asset"), OR(L3="Approved", L3="PMO Pending")), "MSS Need Send",
   TRUE, "Waiting Approval"
)</f>
        <v>Waiting Approval</v>
      </c>
      <c r="O3" t="str" cm="1">
        <f t="array" ref="O3">_xlfn.IFS(
   OR(M3="Cancel", M3="Canceled", M3="Reject", M3="Rejected", K3="Cancel", K3="Canceled", K3="Reject", K3="Rejected", L3="Cancel", L3="Canceled", L3="Reject", L3="Rejected"), "Cancel / Rejected",
   AND(OR(J3="Perbaikan_Asset"), OR(M3="KSO Pending")), "KSO Need Send",
   TRUE, "Waiting Approval"
)</f>
        <v>Waiting Approval</v>
      </c>
      <c r="Q3" t="str" cm="1">
        <f t="array" ref="Q3">_xlfn.IFS(
   OR(M3="Cancel", M3="Canceled", M3="Reject", M3="Rejected", K3="Cancel", K3="Canceled", K3="Reject", K3="Rejected", L3="Cancel", L3="Canceled", L3="Reject", L3="Rejected"), "Cancel / Rejected",
   P3&lt;&gt;"", "MSS Done Send",
   N3="MSS Need Send", "MSS Need Send",
   TRUE, "Waiting Approval"
)</f>
        <v>Waiting Approval</v>
      </c>
      <c r="S3" t="str" cm="1">
        <f t="array" ref="S3">_xlfn.IFS(
   OR(M3="Cancel", M3="Canceled", M3="Reject", M3="Rejected", K3="Cancel", K3="Canceled", K3="Reject", K3="Rejected", L3="Cancel", L3="Canceled", L3="Reject", L3="Rejected"), "Cancel / Rejected",
   R3&lt;&gt;"", "KSO Done Send",
   Q3="MSS Need Send", "MSS Need Send",
   O3="KSO Need Send", "KSO Need Send",
   TRUE, "Waiting Approval"
)</f>
        <v>Waiting Approval</v>
      </c>
    </row>
    <row r="4" spans="1:19" x14ac:dyDescent="0.25">
      <c r="A4" s="1" t="s">
        <v>1476</v>
      </c>
      <c r="B4" s="1" t="s">
        <v>341</v>
      </c>
      <c r="C4" t="str">
        <f>_xlfn.XLOOKUP(B4,Engpar!A:A,Engpar!C:C)</f>
        <v>RANTAU SUANG</v>
      </c>
      <c r="D4" t="str">
        <f>_xlfn.XLOOKUP(B4,Engpar!A:A,Engpar!F:F)</f>
        <v>KALIMANTAN TENGAH</v>
      </c>
      <c r="E4" t="str">
        <f>_xlfn.XLOOKUP(B4,Engpar!A:A,Engpar!G:G)</f>
        <v>KOTAWARINGIN TIMUR</v>
      </c>
      <c r="F4">
        <f>_xlfn.XLOOKUP(B4,Engpar!A:A,Engpar!J:J)</f>
        <v>-1.46858</v>
      </c>
      <c r="G4">
        <f>_xlfn.XLOOKUP(B4,Engpar!A:A,Engpar!K:K)</f>
        <v>112.28144</v>
      </c>
      <c r="H4" t="str">
        <f>_xlfn.XLOOKUP(A4,Claim!C:C,Claim!I:I)</f>
        <v>YARD LAMP</v>
      </c>
      <c r="I4">
        <f>_xlfn.XLOOKUP(A4,Claim!C:C,Claim!J:J)</f>
        <v>1</v>
      </c>
      <c r="J4" t="str">
        <f>_xlfn.XLOOKUP(A4,Claim!C:C,Claim!M:M)</f>
        <v>PRE_APPROVAL</v>
      </c>
      <c r="K4" t="str">
        <f>_xlfn.XLOOKUP(A4,Claim!C:C,Claim!O:O)</f>
        <v>KSO Pending</v>
      </c>
      <c r="L4" t="str">
        <f>_xlfn.XLOOKUP(A4,Claim!C:C,Claim!P:P)</f>
        <v>-</v>
      </c>
      <c r="M4" t="str">
        <f>_xlfn.XLOOKUP(A4,Claim!C:C,Claim!Q:Q)</f>
        <v>-</v>
      </c>
      <c r="N4" t="str" cm="1">
        <f t="array" ref="N4">_xlfn.IFS(
   OR(L4="Cancel", L4="Canceled", L4="Reject", L4="Rejected"), "Cancel / Rejected",
   AND(OR(J4="Request_Garansi", J4="Perbaikan_Asset"), OR(L4="Approved", L4="PMO Pending")), "MSS Need Send",
   TRUE, "Waiting Approval"
)</f>
        <v>Waiting Approval</v>
      </c>
      <c r="O4" t="str" cm="1">
        <f t="array" ref="O4">_xlfn.IFS(
   OR(M4="Cancel", M4="Canceled", M4="Reject", M4="Rejected", K4="Cancel", K4="Canceled", K4="Reject", K4="Rejected", L4="Cancel", L4="Canceled", L4="Reject", L4="Rejected"), "Cancel / Rejected",
   AND(OR(J4="Perbaikan_Asset"), OR(M4="KSO Pending")), "KSO Need Send",
   TRUE, "Waiting Approval"
)</f>
        <v>Waiting Approval</v>
      </c>
      <c r="Q4" t="str" cm="1">
        <f t="array" ref="Q4">_xlfn.IFS(
   OR(M4="Cancel", M4="Canceled", M4="Reject", M4="Rejected", K4="Cancel", K4="Canceled", K4="Reject", K4="Rejected", L4="Cancel", L4="Canceled", L4="Reject", L4="Rejected"), "Cancel / Rejected",
   P4&lt;&gt;"", "MSS Done Send",
   N4="MSS Need Send", "MSS Need Send",
   TRUE, "Waiting Approval"
)</f>
        <v>Waiting Approval</v>
      </c>
      <c r="S4" t="str" cm="1">
        <f t="array" ref="S4">_xlfn.IFS(
   OR(M4="Cancel", M4="Canceled", M4="Reject", M4="Rejected", K4="Cancel", K4="Canceled", K4="Reject", K4="Rejected", L4="Cancel", L4="Canceled", L4="Reject", L4="Rejected"), "Cancel / Rejected",
   R4&lt;&gt;"", "KSO Done Send",
   Q4="MSS Need Send", "MSS Need Send",
   O4="KSO Need Send", "KSO Need Send",
   TRUE, "Waiting Approval"
)</f>
        <v>Waiting Approval</v>
      </c>
    </row>
    <row r="5" spans="1:19" x14ac:dyDescent="0.25">
      <c r="A5" s="1" t="s">
        <v>1478</v>
      </c>
      <c r="B5" s="1" t="s">
        <v>1178</v>
      </c>
      <c r="C5" t="str">
        <f>_xlfn.XLOOKUP(B5,Engpar!A:A,Engpar!C:C)</f>
        <v>RIAM BATANG</v>
      </c>
      <c r="D5" t="str">
        <f>_xlfn.XLOOKUP(B5,Engpar!A:A,Engpar!F:F)</f>
        <v>KALIMANTAN TENGAH</v>
      </c>
      <c r="E5" t="str">
        <f>_xlfn.XLOOKUP(B5,Engpar!A:A,Engpar!G:G)</f>
        <v>SERUYAN</v>
      </c>
      <c r="F5">
        <f>_xlfn.XLOOKUP(B5,Engpar!A:A,Engpar!J:J)</f>
        <v>-0.86212</v>
      </c>
      <c r="G5">
        <f>_xlfn.XLOOKUP(B5,Engpar!A:A,Engpar!K:K)</f>
        <v>112.08056999999999</v>
      </c>
      <c r="H5" t="str">
        <f>_xlfn.XLOOKUP(A5,Claim!C:C,Claim!I:I)</f>
        <v>INVERTER 300 W</v>
      </c>
      <c r="I5">
        <f>_xlfn.XLOOKUP(A5,Claim!C:C,Claim!J:J)</f>
        <v>1</v>
      </c>
      <c r="J5" t="str">
        <f>_xlfn.XLOOKUP(A5,Claim!C:C,Claim!M:M)</f>
        <v>PRE_APPROVAL</v>
      </c>
      <c r="K5" t="str">
        <f>_xlfn.XLOOKUP(A5,Claim!C:C,Claim!O:O)</f>
        <v>KSO Pending</v>
      </c>
      <c r="L5" t="str">
        <f>_xlfn.XLOOKUP(A5,Claim!C:C,Claim!P:P)</f>
        <v>-</v>
      </c>
      <c r="M5" t="str">
        <f>_xlfn.XLOOKUP(A5,Claim!C:C,Claim!Q:Q)</f>
        <v>-</v>
      </c>
      <c r="N5" t="str" cm="1">
        <f t="array" ref="N5">_xlfn.IFS(
   OR(L5="Cancel", L5="Canceled", L5="Reject", L5="Rejected"), "Cancel / Rejected",
   AND(OR(J5="Request_Garansi", J5="Perbaikan_Asset"), OR(L5="Approved", L5="PMO Pending")), "MSS Need Send",
   TRUE, "Waiting Approval"
)</f>
        <v>Waiting Approval</v>
      </c>
      <c r="O5" t="str" cm="1">
        <f t="array" ref="O5">_xlfn.IFS(
   OR(M5="Cancel", M5="Canceled", M5="Reject", M5="Rejected", K5="Cancel", K5="Canceled", K5="Reject", K5="Rejected", L5="Cancel", L5="Canceled", L5="Reject", L5="Rejected"), "Cancel / Rejected",
   AND(OR(J5="Perbaikan_Asset"), OR(M5="KSO Pending")), "KSO Need Send",
   TRUE, "Waiting Approval"
)</f>
        <v>Waiting Approval</v>
      </c>
      <c r="Q5" t="str" cm="1">
        <f t="array" ref="Q5">_xlfn.IFS(
   OR(M5="Cancel", M5="Canceled", M5="Reject", M5="Rejected", K5="Cancel", K5="Canceled", K5="Reject", K5="Rejected", L5="Cancel", L5="Canceled", L5="Reject", L5="Rejected"), "Cancel / Rejected",
   P5&lt;&gt;"", "MSS Done Send",
   N5="MSS Need Send", "MSS Need Send",
   TRUE, "Waiting Approval"
)</f>
        <v>Waiting Approval</v>
      </c>
      <c r="S5" t="str" cm="1">
        <f t="array" ref="S5">_xlfn.IFS(
   OR(M5="Cancel", M5="Canceled", M5="Reject", M5="Rejected", K5="Cancel", K5="Canceled", K5="Reject", K5="Rejected", L5="Cancel", L5="Canceled", L5="Reject", L5="Rejected"), "Cancel / Rejected",
   R5&lt;&gt;"", "KSO Done Send",
   Q5="MSS Need Send", "MSS Need Send",
   O5="KSO Need Send", "KSO Need Send",
   TRUE, "Waiting Approval"
)</f>
        <v>Waiting Approval</v>
      </c>
    </row>
    <row r="6" spans="1:19" x14ac:dyDescent="0.25">
      <c r="A6" s="1" t="s">
        <v>1464</v>
      </c>
      <c r="B6" s="1" t="s">
        <v>891</v>
      </c>
      <c r="C6" t="str">
        <f>_xlfn.XLOOKUP(B6,Engpar!A:A,Engpar!C:C)</f>
        <v>LAUT TAWANG</v>
      </c>
      <c r="D6" t="str">
        <f>_xlfn.XLOOKUP(B6,Engpar!A:A,Engpar!F:F)</f>
        <v>KALIMANTAN BARAT</v>
      </c>
      <c r="E6" t="str">
        <f>_xlfn.XLOOKUP(B6,Engpar!A:A,Engpar!G:G)</f>
        <v>KAPUAS HULU</v>
      </c>
      <c r="F6">
        <f>_xlfn.XLOOKUP(B6,Engpar!A:A,Engpar!J:J)</f>
        <v>0.74492000000000003</v>
      </c>
      <c r="G6">
        <f>_xlfn.XLOOKUP(B6,Engpar!A:A,Engpar!K:K)</f>
        <v>111.96001</v>
      </c>
      <c r="H6" t="str">
        <f>_xlfn.XLOOKUP(A6,Claim!C:C,Claim!I:I)</f>
        <v>MODEM</v>
      </c>
      <c r="I6">
        <f>_xlfn.XLOOKUP(A6,Claim!C:C,Claim!J:J)</f>
        <v>1</v>
      </c>
      <c r="J6" t="str">
        <f>_xlfn.XLOOKUP(A6,Claim!C:C,Claim!M:M)</f>
        <v>PRE_APPROVAL</v>
      </c>
      <c r="K6" t="str">
        <f>_xlfn.XLOOKUP(A6,Claim!C:C,Claim!O:O)</f>
        <v>KSO Pending</v>
      </c>
      <c r="L6" t="str">
        <f>_xlfn.XLOOKUP(A6,Claim!C:C,Claim!P:P)</f>
        <v>-</v>
      </c>
      <c r="M6" t="str">
        <f>_xlfn.XLOOKUP(A6,Claim!C:C,Claim!Q:Q)</f>
        <v>-</v>
      </c>
      <c r="N6" t="str" cm="1">
        <f t="array" ref="N6">_xlfn.IFS(
   OR(L6="Cancel", L6="Canceled", L6="Reject", L6="Rejected"), "Cancel / Rejected",
   AND(OR(J6="Request_Garansi", J6="Perbaikan_Asset"), OR(L6="Approved", L6="PMO Pending")), "MSS Need Send",
   TRUE, "Waiting Approval"
)</f>
        <v>Waiting Approval</v>
      </c>
      <c r="O6" t="str" cm="1">
        <f t="array" ref="O6">_xlfn.IFS(
   OR(M6="Cancel", M6="Canceled", M6="Reject", M6="Rejected", K6="Cancel", K6="Canceled", K6="Reject", K6="Rejected", L6="Cancel", L6="Canceled", L6="Reject", L6="Rejected"), "Cancel / Rejected",
   AND(OR(J6="Perbaikan_Asset"), OR(M6="KSO Pending")), "KSO Need Send",
   TRUE, "Waiting Approval"
)</f>
        <v>Waiting Approval</v>
      </c>
      <c r="Q6" t="str" cm="1">
        <f t="array" ref="Q6">_xlfn.IFS(
   OR(M6="Cancel", M6="Canceled", M6="Reject", M6="Rejected", K6="Cancel", K6="Canceled", K6="Reject", K6="Rejected", L6="Cancel", L6="Canceled", L6="Reject", L6="Rejected"), "Cancel / Rejected",
   P6&lt;&gt;"", "MSS Done Send",
   N6="MSS Need Send", "MSS Need Send",
   TRUE, "Waiting Approval"
)</f>
        <v>Waiting Approval</v>
      </c>
      <c r="S6" t="str" cm="1">
        <f t="array" ref="S6">_xlfn.IFS(
   OR(M6="Cancel", M6="Canceled", M6="Reject", M6="Rejected", K6="Cancel", K6="Canceled", K6="Reject", K6="Rejected", L6="Cancel", L6="Canceled", L6="Reject", L6="Rejected"), "Cancel / Rejected",
   R6&lt;&gt;"", "KSO Done Send",
   Q6="MSS Need Send", "MSS Need Send",
   O6="KSO Need Send", "KSO Need Send",
   TRUE, "Waiting Approval"
)</f>
        <v>Waiting Approval</v>
      </c>
    </row>
    <row r="7" spans="1:19" x14ac:dyDescent="0.25">
      <c r="A7" s="1" t="s">
        <v>1466</v>
      </c>
      <c r="B7" s="1" t="s">
        <v>858</v>
      </c>
      <c r="C7" t="str">
        <f>_xlfn.XLOOKUP(B7,Engpar!A:A,Engpar!C:C)</f>
        <v>TUMBANG SEPAN</v>
      </c>
      <c r="D7" t="str">
        <f>_xlfn.XLOOKUP(B7,Engpar!A:A,Engpar!F:F)</f>
        <v>KALIMANTAN TENGAH</v>
      </c>
      <c r="E7" t="str">
        <f>_xlfn.XLOOKUP(B7,Engpar!A:A,Engpar!G:G)</f>
        <v>SERUYAN</v>
      </c>
      <c r="F7">
        <f>_xlfn.XLOOKUP(B7,Engpar!A:A,Engpar!J:J)</f>
        <v>-0.90825</v>
      </c>
      <c r="G7">
        <f>_xlfn.XLOOKUP(B7,Engpar!A:A,Engpar!K:K)</f>
        <v>112.06332</v>
      </c>
      <c r="H7" t="str">
        <f>_xlfn.XLOOKUP(A7,Claim!C:C,Claim!I:I)</f>
        <v>INVERTER 300 W</v>
      </c>
      <c r="I7">
        <f>_xlfn.XLOOKUP(A7,Claim!C:C,Claim!J:J)</f>
        <v>1</v>
      </c>
      <c r="J7" t="str">
        <f>_xlfn.XLOOKUP(A7,Claim!C:C,Claim!M:M)</f>
        <v>PRE_APPROVAL</v>
      </c>
      <c r="K7" t="str">
        <f>_xlfn.XLOOKUP(A7,Claim!C:C,Claim!O:O)</f>
        <v>KSO Pending</v>
      </c>
      <c r="L7" t="str">
        <f>_xlfn.XLOOKUP(A7,Claim!C:C,Claim!P:P)</f>
        <v>-</v>
      </c>
      <c r="M7" t="str">
        <f>_xlfn.XLOOKUP(A7,Claim!C:C,Claim!Q:Q)</f>
        <v>-</v>
      </c>
      <c r="N7" t="str" cm="1">
        <f t="array" ref="N7">_xlfn.IFS(
   OR(L7="Cancel", L7="Canceled", L7="Reject", L7="Rejected"), "Cancel / Rejected",
   AND(OR(J7="Request_Garansi", J7="Perbaikan_Asset"), OR(L7="Approved", L7="PMO Pending")), "MSS Need Send",
   TRUE, "Waiting Approval"
)</f>
        <v>Waiting Approval</v>
      </c>
      <c r="O7" t="str" cm="1">
        <f t="array" ref="O7">_xlfn.IFS(
   OR(M7="Cancel", M7="Canceled", M7="Reject", M7="Rejected", K7="Cancel", K7="Canceled", K7="Reject", K7="Rejected", L7="Cancel", L7="Canceled", L7="Reject", L7="Rejected"), "Cancel / Rejected",
   AND(OR(J7="Perbaikan_Asset"), OR(M7="KSO Pending")), "KSO Need Send",
   TRUE, "Waiting Approval"
)</f>
        <v>Waiting Approval</v>
      </c>
      <c r="Q7" t="str" cm="1">
        <f t="array" ref="Q7">_xlfn.IFS(
   OR(M7="Cancel", M7="Canceled", M7="Reject", M7="Rejected", K7="Cancel", K7="Canceled", K7="Reject", K7="Rejected", L7="Cancel", L7="Canceled", L7="Reject", L7="Rejected"), "Cancel / Rejected",
   P7&lt;&gt;"", "MSS Done Send",
   N7="MSS Need Send", "MSS Need Send",
   TRUE, "Waiting Approval"
)</f>
        <v>Waiting Approval</v>
      </c>
      <c r="S7" t="str" cm="1">
        <f t="array" ref="S7">_xlfn.IFS(
   OR(M7="Cancel", M7="Canceled", M7="Reject", M7="Rejected", K7="Cancel", K7="Canceled", K7="Reject", K7="Rejected", L7="Cancel", L7="Canceled", L7="Reject", L7="Rejected"), "Cancel / Rejected",
   R7&lt;&gt;"", "KSO Done Send",
   Q7="MSS Need Send", "MSS Need Send",
   O7="KSO Need Send", "KSO Need Send",
   TRUE, "Waiting Approval"
)</f>
        <v>Waiting Approval</v>
      </c>
    </row>
    <row r="8" spans="1:19" x14ac:dyDescent="0.25">
      <c r="A8" s="1" t="s">
        <v>1468</v>
      </c>
      <c r="B8" s="1" t="s">
        <v>748</v>
      </c>
      <c r="C8" t="str">
        <f>_xlfn.XLOOKUP(B8,Engpar!A:A,Engpar!C:C)</f>
        <v>SAHAM</v>
      </c>
      <c r="D8" t="str">
        <f>_xlfn.XLOOKUP(B8,Engpar!A:A,Engpar!F:F)</f>
        <v>KALIMANTAN BARAT</v>
      </c>
      <c r="E8" t="str">
        <f>_xlfn.XLOOKUP(B8,Engpar!A:A,Engpar!G:G)</f>
        <v>LANDAK</v>
      </c>
      <c r="F8">
        <f>_xlfn.XLOOKUP(B8,Engpar!A:A,Engpar!J:J)</f>
        <v>0.24271000000000001</v>
      </c>
      <c r="G8">
        <f>_xlfn.XLOOKUP(B8,Engpar!A:A,Engpar!K:K)</f>
        <v>109.68004999999999</v>
      </c>
      <c r="H8" t="str">
        <f>_xlfn.XLOOKUP(A8,Claim!C:C,Claim!I:I)</f>
        <v>OBL Lamp</v>
      </c>
      <c r="I8">
        <f>_xlfn.XLOOKUP(A8,Claim!C:C,Claim!J:J)</f>
        <v>1</v>
      </c>
      <c r="J8" t="str">
        <f>_xlfn.XLOOKUP(A8,Claim!C:C,Claim!M:M)</f>
        <v>PRE_APPROVAL</v>
      </c>
      <c r="K8" t="str">
        <f>_xlfn.XLOOKUP(A8,Claim!C:C,Claim!O:O)</f>
        <v>KSO Pending</v>
      </c>
      <c r="L8" t="str">
        <f>_xlfn.XLOOKUP(A8,Claim!C:C,Claim!P:P)</f>
        <v>-</v>
      </c>
      <c r="M8" t="str">
        <f>_xlfn.XLOOKUP(A8,Claim!C:C,Claim!Q:Q)</f>
        <v>-</v>
      </c>
      <c r="N8" t="str" cm="1">
        <f t="array" ref="N8">_xlfn.IFS(
   OR(L8="Cancel", L8="Canceled", L8="Reject", L8="Rejected"), "Cancel / Rejected",
   AND(OR(J8="Request_Garansi", J8="Perbaikan_Asset"), OR(L8="Approved", L8="PMO Pending")), "MSS Need Send",
   TRUE, "Waiting Approval"
)</f>
        <v>Waiting Approval</v>
      </c>
      <c r="O8" t="str" cm="1">
        <f t="array" ref="O8">_xlfn.IFS(
   OR(M8="Cancel", M8="Canceled", M8="Reject", M8="Rejected", K8="Cancel", K8="Canceled", K8="Reject", K8="Rejected", L8="Cancel", L8="Canceled", L8="Reject", L8="Rejected"), "Cancel / Rejected",
   AND(OR(J8="Perbaikan_Asset"), OR(M8="KSO Pending")), "KSO Need Send",
   TRUE, "Waiting Approval"
)</f>
        <v>Waiting Approval</v>
      </c>
      <c r="Q8" t="str" cm="1">
        <f t="array" ref="Q8">_xlfn.IFS(
   OR(M8="Cancel", M8="Canceled", M8="Reject", M8="Rejected", K8="Cancel", K8="Canceled", K8="Reject", K8="Rejected", L8="Cancel", L8="Canceled", L8="Reject", L8="Rejected"), "Cancel / Rejected",
   P8&lt;&gt;"", "MSS Done Send",
   N8="MSS Need Send", "MSS Need Send",
   TRUE, "Waiting Approval"
)</f>
        <v>Waiting Approval</v>
      </c>
      <c r="S8" t="str" cm="1">
        <f t="array" ref="S8">_xlfn.IFS(
   OR(M8="Cancel", M8="Canceled", M8="Reject", M8="Rejected", K8="Cancel", K8="Canceled", K8="Reject", K8="Rejected", L8="Cancel", L8="Canceled", L8="Reject", L8="Rejected"), "Cancel / Rejected",
   R8&lt;&gt;"", "KSO Done Send",
   Q8="MSS Need Send", "MSS Need Send",
   O8="KSO Need Send", "KSO Need Send",
   TRUE, "Waiting Approval"
)</f>
        <v>Waiting Approval</v>
      </c>
    </row>
    <row r="9" spans="1:19" x14ac:dyDescent="0.25">
      <c r="A9" s="1" t="s">
        <v>1410</v>
      </c>
      <c r="B9" s="1" t="s">
        <v>891</v>
      </c>
      <c r="C9" t="str">
        <f>_xlfn.XLOOKUP(B9,Engpar!A:A,Engpar!C:C)</f>
        <v>LAUT TAWANG</v>
      </c>
      <c r="D9" t="str">
        <f>_xlfn.XLOOKUP(B9,Engpar!A:A,Engpar!F:F)</f>
        <v>KALIMANTAN BARAT</v>
      </c>
      <c r="E9" t="str">
        <f>_xlfn.XLOOKUP(B9,Engpar!A:A,Engpar!G:G)</f>
        <v>KAPUAS HULU</v>
      </c>
      <c r="F9">
        <f>_xlfn.XLOOKUP(B9,Engpar!A:A,Engpar!J:J)</f>
        <v>0.74492000000000003</v>
      </c>
      <c r="G9">
        <f>_xlfn.XLOOKUP(B9,Engpar!A:A,Engpar!K:K)</f>
        <v>111.96001</v>
      </c>
      <c r="H9" t="str">
        <f>_xlfn.XLOOKUP(A9,Claim!C:C,Claim!I:I)</f>
        <v>BUC</v>
      </c>
      <c r="I9">
        <f>_xlfn.XLOOKUP(A9,Claim!C:C,Claim!J:J)</f>
        <v>1</v>
      </c>
      <c r="J9" t="str">
        <f>_xlfn.XLOOKUP(A9,Claim!C:C,Claim!M:M)</f>
        <v>PRE_APPROVAL</v>
      </c>
      <c r="K9" t="str">
        <f>_xlfn.XLOOKUP(A9,Claim!C:C,Claim!O:O)</f>
        <v>KSO Pending</v>
      </c>
      <c r="L9" t="str">
        <f>_xlfn.XLOOKUP(A9,Claim!C:C,Claim!P:P)</f>
        <v>-</v>
      </c>
      <c r="M9" t="str">
        <f>_xlfn.XLOOKUP(A9,Claim!C:C,Claim!Q:Q)</f>
        <v>-</v>
      </c>
      <c r="N9" t="str" cm="1">
        <f t="array" ref="N9">_xlfn.IFS(
   OR(L9="Cancel", L9="Canceled", L9="Reject", L9="Rejected"), "Cancel / Rejected",
   AND(OR(J9="Request_Garansi", J9="Perbaikan_Asset"), OR(L9="Approved", L9="PMO Pending")), "MSS Need Send",
   TRUE, "Waiting Approval"
)</f>
        <v>Waiting Approval</v>
      </c>
      <c r="O9" t="str" cm="1">
        <f t="array" ref="O9">_xlfn.IFS(
   OR(M9="Cancel", M9="Canceled", M9="Reject", M9="Rejected", K9="Cancel", K9="Canceled", K9="Reject", K9="Rejected", L9="Cancel", L9="Canceled", L9="Reject", L9="Rejected"), "Cancel / Rejected",
   AND(OR(J9="Perbaikan_Asset"), OR(M9="KSO Pending")), "KSO Need Send",
   TRUE, "Waiting Approval"
)</f>
        <v>Waiting Approval</v>
      </c>
      <c r="Q9" t="str" cm="1">
        <f t="array" ref="Q9">_xlfn.IFS(
   OR(M9="Cancel", M9="Canceled", M9="Reject", M9="Rejected", K9="Cancel", K9="Canceled", K9="Reject", K9="Rejected", L9="Cancel", L9="Canceled", L9="Reject", L9="Rejected"), "Cancel / Rejected",
   P9&lt;&gt;"", "MSS Done Send",
   N9="MSS Need Send", "MSS Need Send",
   TRUE, "Waiting Approval"
)</f>
        <v>Waiting Approval</v>
      </c>
      <c r="S9" t="str" cm="1">
        <f t="array" ref="S9">_xlfn.IFS(
   OR(M9="Cancel", M9="Canceled", M9="Reject", M9="Rejected", K9="Cancel", K9="Canceled", K9="Reject", K9="Rejected", L9="Cancel", L9="Canceled", L9="Reject", L9="Rejected"), "Cancel / Rejected",
   R9&lt;&gt;"", "KSO Done Send",
   Q9="MSS Need Send", "MSS Need Send",
   O9="KSO Need Send", "KSO Need Send",
   TRUE, "Waiting Approval"
)</f>
        <v>Waiting Approval</v>
      </c>
    </row>
    <row r="10" spans="1:19" x14ac:dyDescent="0.25">
      <c r="A10" s="1" t="s">
        <v>1412</v>
      </c>
      <c r="B10" s="1" t="s">
        <v>341</v>
      </c>
      <c r="C10" t="str">
        <f>_xlfn.XLOOKUP(B10,Engpar!A:A,Engpar!C:C)</f>
        <v>RANTAU SUANG</v>
      </c>
      <c r="D10" t="str">
        <f>_xlfn.XLOOKUP(B10,Engpar!A:A,Engpar!F:F)</f>
        <v>KALIMANTAN TENGAH</v>
      </c>
      <c r="E10" t="str">
        <f>_xlfn.XLOOKUP(B10,Engpar!A:A,Engpar!G:G)</f>
        <v>KOTAWARINGIN TIMUR</v>
      </c>
      <c r="F10">
        <f>_xlfn.XLOOKUP(B10,Engpar!A:A,Engpar!J:J)</f>
        <v>-1.46858</v>
      </c>
      <c r="G10">
        <f>_xlfn.XLOOKUP(B10,Engpar!A:A,Engpar!K:K)</f>
        <v>112.28144</v>
      </c>
      <c r="H10" t="str">
        <f>_xlfn.XLOOKUP(A10,Claim!C:C,Claim!I:I)</f>
        <v>INVERTER 300 W</v>
      </c>
      <c r="I10">
        <f>_xlfn.XLOOKUP(A10,Claim!C:C,Claim!J:J)</f>
        <v>1</v>
      </c>
      <c r="J10" t="str">
        <f>_xlfn.XLOOKUP(A10,Claim!C:C,Claim!M:M)</f>
        <v>PRE_APPROVAL</v>
      </c>
      <c r="K10" t="str">
        <f>_xlfn.XLOOKUP(A10,Claim!C:C,Claim!O:O)</f>
        <v>KSO Pending</v>
      </c>
      <c r="L10" t="str">
        <f>_xlfn.XLOOKUP(A10,Claim!C:C,Claim!P:P)</f>
        <v>-</v>
      </c>
      <c r="M10" t="str">
        <f>_xlfn.XLOOKUP(A10,Claim!C:C,Claim!Q:Q)</f>
        <v>-</v>
      </c>
      <c r="N10" t="str" cm="1">
        <f t="array" ref="N10">_xlfn.IFS(
   OR(L10="Cancel", L10="Canceled", L10="Reject", L10="Rejected"), "Cancel / Rejected",
   AND(OR(J10="Request_Garansi", J10="Perbaikan_Asset"), OR(L10="Approved", L10="PMO Pending")), "MSS Need Send",
   TRUE, "Waiting Approval"
)</f>
        <v>Waiting Approval</v>
      </c>
      <c r="O10" t="str" cm="1">
        <f t="array" ref="O10">_xlfn.IFS(
   OR(M10="Cancel", M10="Canceled", M10="Reject", M10="Rejected", K10="Cancel", K10="Canceled", K10="Reject", K10="Rejected", L10="Cancel", L10="Canceled", L10="Reject", L10="Rejected"), "Cancel / Rejected",
   AND(OR(J10="Perbaikan_Asset"), OR(M10="KSO Pending")), "KSO Need Send",
   TRUE, "Waiting Approval"
)</f>
        <v>Waiting Approval</v>
      </c>
      <c r="Q10" t="str" cm="1">
        <f t="array" ref="Q10">_xlfn.IFS(
   OR(M10="Cancel", M10="Canceled", M10="Reject", M10="Rejected", K10="Cancel", K10="Canceled", K10="Reject", K10="Rejected", L10="Cancel", L10="Canceled", L10="Reject", L10="Rejected"), "Cancel / Rejected",
   P10&lt;&gt;"", "MSS Done Send",
   N10="MSS Need Send", "MSS Need Send",
   TRUE, "Waiting Approval"
)</f>
        <v>Waiting Approval</v>
      </c>
      <c r="S10" t="str" cm="1">
        <f t="array" ref="S10">_xlfn.IFS(
   OR(M10="Cancel", M10="Canceled", M10="Reject", M10="Rejected", K10="Cancel", K10="Canceled", K10="Reject", K10="Rejected", L10="Cancel", L10="Canceled", L10="Reject", L10="Rejected"), "Cancel / Rejected",
   R10&lt;&gt;"", "KSO Done Send",
   Q10="MSS Need Send", "MSS Need Send",
   O10="KSO Need Send", "KSO Need Send",
   TRUE, "Waiting Approval"
)</f>
        <v>Waiting Approval</v>
      </c>
    </row>
    <row r="11" spans="1:19" x14ac:dyDescent="0.25">
      <c r="A11" s="1" t="s">
        <v>1414</v>
      </c>
      <c r="B11" s="1" t="s">
        <v>375</v>
      </c>
      <c r="C11" t="str">
        <f>_xlfn.XLOOKUP(B11,Engpar!A:A,Engpar!C:C)</f>
        <v>BATU BADAK</v>
      </c>
      <c r="D11" t="str">
        <f>_xlfn.XLOOKUP(B11,Engpar!A:A,Engpar!F:F)</f>
        <v>KALIMANTAN TENGAH</v>
      </c>
      <c r="E11" t="str">
        <f>_xlfn.XLOOKUP(B11,Engpar!A:A,Engpar!G:G)</f>
        <v>KATINGAN</v>
      </c>
      <c r="F11">
        <f>_xlfn.XLOOKUP(B11,Engpar!A:A,Engpar!J:J)</f>
        <v>-0.99502000000000002</v>
      </c>
      <c r="G11">
        <f>_xlfn.XLOOKUP(B11,Engpar!A:A,Engpar!K:K)</f>
        <v>112.92697</v>
      </c>
      <c r="H11" t="str">
        <f>_xlfn.XLOOKUP(A11,Claim!C:C,Claim!I:I)</f>
        <v>INVERTER 300 W</v>
      </c>
      <c r="I11">
        <f>_xlfn.XLOOKUP(A11,Claim!C:C,Claim!J:J)</f>
        <v>1</v>
      </c>
      <c r="J11" t="str">
        <f>_xlfn.XLOOKUP(A11,Claim!C:C,Claim!M:M)</f>
        <v>PRE_APPROVAL</v>
      </c>
      <c r="K11" t="str">
        <f>_xlfn.XLOOKUP(A11,Claim!C:C,Claim!O:O)</f>
        <v>KSO Pending</v>
      </c>
      <c r="L11" t="str">
        <f>_xlfn.XLOOKUP(A11,Claim!C:C,Claim!P:P)</f>
        <v>-</v>
      </c>
      <c r="M11" t="str">
        <f>_xlfn.XLOOKUP(A11,Claim!C:C,Claim!Q:Q)</f>
        <v>-</v>
      </c>
      <c r="N11" t="str" cm="1">
        <f t="array" ref="N11">_xlfn.IFS(
   OR(L11="Cancel", L11="Canceled", L11="Reject", L11="Rejected"), "Cancel / Rejected",
   AND(OR(J11="Request_Garansi", J11="Perbaikan_Asset"), OR(L11="Approved", L11="PMO Pending")), "MSS Need Send",
   TRUE, "Waiting Approval"
)</f>
        <v>Waiting Approval</v>
      </c>
      <c r="O11" t="str" cm="1">
        <f t="array" ref="O11">_xlfn.IFS(
   OR(M11="Cancel", M11="Canceled", M11="Reject", M11="Rejected", K11="Cancel", K11="Canceled", K11="Reject", K11="Rejected", L11="Cancel", L11="Canceled", L11="Reject", L11="Rejected"), "Cancel / Rejected",
   AND(OR(J11="Perbaikan_Asset"), OR(M11="KSO Pending")), "KSO Need Send",
   TRUE, "Waiting Approval"
)</f>
        <v>Waiting Approval</v>
      </c>
      <c r="Q11" t="str" cm="1">
        <f t="array" ref="Q11">_xlfn.IFS(
   OR(M11="Cancel", M11="Canceled", M11="Reject", M11="Rejected", K11="Cancel", K11="Canceled", K11="Reject", K11="Rejected", L11="Cancel", L11="Canceled", L11="Reject", L11="Rejected"), "Cancel / Rejected",
   P11&lt;&gt;"", "MSS Done Send",
   N11="MSS Need Send", "MSS Need Send",
   TRUE, "Waiting Approval"
)</f>
        <v>Waiting Approval</v>
      </c>
      <c r="S11" t="str" cm="1">
        <f t="array" ref="S11">_xlfn.IFS(
   OR(M11="Cancel", M11="Canceled", M11="Reject", M11="Rejected", K11="Cancel", K11="Canceled", K11="Reject", K11="Rejected", L11="Cancel", L11="Canceled", L11="Reject", L11="Rejected"), "Cancel / Rejected",
   R11&lt;&gt;"", "KSO Done Send",
   Q11="MSS Need Send", "MSS Need Send",
   O11="KSO Need Send", "KSO Need Send",
   TRUE, "Waiting Approval"
)</f>
        <v>Waiting Approval</v>
      </c>
    </row>
    <row r="12" spans="1:19" x14ac:dyDescent="0.25">
      <c r="A12" s="1" t="s">
        <v>1416</v>
      </c>
      <c r="B12" s="1" t="s">
        <v>387</v>
      </c>
      <c r="C12" t="str">
        <f>_xlfn.XLOOKUP(B12,Engpar!A:A,Engpar!C:C)</f>
        <v>TUMBANG TANGOI</v>
      </c>
      <c r="D12" t="str">
        <f>_xlfn.XLOOKUP(B12,Engpar!A:A,Engpar!F:F)</f>
        <v>KALIMANTAN TENGAH</v>
      </c>
      <c r="E12" t="str">
        <f>_xlfn.XLOOKUP(B12,Engpar!A:A,Engpar!G:G)</f>
        <v>KATINGAN</v>
      </c>
      <c r="F12">
        <f>_xlfn.XLOOKUP(B12,Engpar!A:A,Engpar!J:J)</f>
        <v>-0.94374000000000002</v>
      </c>
      <c r="G12">
        <f>_xlfn.XLOOKUP(B12,Engpar!A:A,Engpar!K:K)</f>
        <v>113.09321</v>
      </c>
      <c r="H12" t="str">
        <f>_xlfn.XLOOKUP(A12,Claim!C:C,Claim!I:I)</f>
        <v>INVERTER 300 W</v>
      </c>
      <c r="I12">
        <f>_xlfn.XLOOKUP(A12,Claim!C:C,Claim!J:J)</f>
        <v>1</v>
      </c>
      <c r="J12" t="str">
        <f>_xlfn.XLOOKUP(A12,Claim!C:C,Claim!M:M)</f>
        <v>PRE_APPROVAL</v>
      </c>
      <c r="K12" t="str">
        <f>_xlfn.XLOOKUP(A12,Claim!C:C,Claim!O:O)</f>
        <v>KSO Pending</v>
      </c>
      <c r="L12" t="str">
        <f>_xlfn.XLOOKUP(A12,Claim!C:C,Claim!P:P)</f>
        <v>-</v>
      </c>
      <c r="M12" t="str">
        <f>_xlfn.XLOOKUP(A12,Claim!C:C,Claim!Q:Q)</f>
        <v>-</v>
      </c>
      <c r="N12" t="str" cm="1">
        <f t="array" ref="N12">_xlfn.IFS(
   OR(L12="Cancel", L12="Canceled", L12="Reject", L12="Rejected"), "Cancel / Rejected",
   AND(OR(J12="Request_Garansi", J12="Perbaikan_Asset"), OR(L12="Approved", L12="PMO Pending")), "MSS Need Send",
   TRUE, "Waiting Approval"
)</f>
        <v>Waiting Approval</v>
      </c>
      <c r="O12" t="str" cm="1">
        <f t="array" ref="O12">_xlfn.IFS(
   OR(M12="Cancel", M12="Canceled", M12="Reject", M12="Rejected", K12="Cancel", K12="Canceled", K12="Reject", K12="Rejected", L12="Cancel", L12="Canceled", L12="Reject", L12="Rejected"), "Cancel / Rejected",
   AND(OR(J12="Perbaikan_Asset"), OR(M12="KSO Pending")), "KSO Need Send",
   TRUE, "Waiting Approval"
)</f>
        <v>Waiting Approval</v>
      </c>
      <c r="Q12" t="str" cm="1">
        <f t="array" ref="Q12">_xlfn.IFS(
   OR(M12="Cancel", M12="Canceled", M12="Reject", M12="Rejected", K12="Cancel", K12="Canceled", K12="Reject", K12="Rejected", L12="Cancel", L12="Canceled", L12="Reject", L12="Rejected"), "Cancel / Rejected",
   P12&lt;&gt;"", "MSS Done Send",
   N12="MSS Need Send", "MSS Need Send",
   TRUE, "Waiting Approval"
)</f>
        <v>Waiting Approval</v>
      </c>
      <c r="S12" t="str" cm="1">
        <f t="array" ref="S12">_xlfn.IFS(
   OR(M12="Cancel", M12="Canceled", M12="Reject", M12="Rejected", K12="Cancel", K12="Canceled", K12="Reject", K12="Rejected", L12="Cancel", L12="Canceled", L12="Reject", L12="Rejected"), "Cancel / Rejected",
   R12&lt;&gt;"", "KSO Done Send",
   Q12="MSS Need Send", "MSS Need Send",
   O12="KSO Need Send", "KSO Need Send",
   TRUE, "Waiting Approval"
)</f>
        <v>Waiting Approval</v>
      </c>
    </row>
    <row r="13" spans="1:19" x14ac:dyDescent="0.25">
      <c r="A13" s="1" t="s">
        <v>1418</v>
      </c>
      <c r="B13" s="1" t="s">
        <v>1371</v>
      </c>
      <c r="C13" t="str">
        <f>_xlfn.XLOOKUP(B13,Engpar!A:A,Engpar!C:C)</f>
        <v>TUMBANG SALAU</v>
      </c>
      <c r="D13" t="str">
        <f>_xlfn.XLOOKUP(B13,Engpar!A:A,Engpar!F:F)</f>
        <v>KALIMANTAN TENGAH</v>
      </c>
      <c r="E13" t="str">
        <f>_xlfn.XLOOKUP(B13,Engpar!A:A,Engpar!G:G)</f>
        <v>SERUYAN</v>
      </c>
      <c r="F13">
        <f>_xlfn.XLOOKUP(B13,Engpar!A:A,Engpar!J:J)</f>
        <v>-1.29765</v>
      </c>
      <c r="G13">
        <f>_xlfn.XLOOKUP(B13,Engpar!A:A,Engpar!K:K)</f>
        <v>111.81195</v>
      </c>
      <c r="H13" t="str">
        <f>_xlfn.XLOOKUP(A13,Claim!C:C,Claim!I:I)</f>
        <v>INVERTER 300 W</v>
      </c>
      <c r="I13">
        <f>_xlfn.XLOOKUP(A13,Claim!C:C,Claim!J:J)</f>
        <v>1</v>
      </c>
      <c r="J13" t="str">
        <f>_xlfn.XLOOKUP(A13,Claim!C:C,Claim!M:M)</f>
        <v>PRE_APPROVAL</v>
      </c>
      <c r="K13" t="str">
        <f>_xlfn.XLOOKUP(A13,Claim!C:C,Claim!O:O)</f>
        <v>KSO Pending</v>
      </c>
      <c r="L13" t="str">
        <f>_xlfn.XLOOKUP(A13,Claim!C:C,Claim!P:P)</f>
        <v>-</v>
      </c>
      <c r="M13" t="str">
        <f>_xlfn.XLOOKUP(A13,Claim!C:C,Claim!Q:Q)</f>
        <v>-</v>
      </c>
      <c r="N13" t="str" cm="1">
        <f t="array" ref="N13">_xlfn.IFS(
   OR(L13="Cancel", L13="Canceled", L13="Reject", L13="Rejected"), "Cancel / Rejected",
   AND(OR(J13="Request_Garansi", J13="Perbaikan_Asset"), OR(L13="Approved", L13="PMO Pending")), "MSS Need Send",
   TRUE, "Waiting Approval"
)</f>
        <v>Waiting Approval</v>
      </c>
      <c r="O13" t="str" cm="1">
        <f t="array" ref="O13">_xlfn.IFS(
   OR(M13="Cancel", M13="Canceled", M13="Reject", M13="Rejected", K13="Cancel", K13="Canceled", K13="Reject", K13="Rejected", L13="Cancel", L13="Canceled", L13="Reject", L13="Rejected"), "Cancel / Rejected",
   AND(OR(J13="Perbaikan_Asset"), OR(M13="KSO Pending")), "KSO Need Send",
   TRUE, "Waiting Approval"
)</f>
        <v>Waiting Approval</v>
      </c>
      <c r="Q13" t="str" cm="1">
        <f t="array" ref="Q13">_xlfn.IFS(
   OR(M13="Cancel", M13="Canceled", M13="Reject", M13="Rejected", K13="Cancel", K13="Canceled", K13="Reject", K13="Rejected", L13="Cancel", L13="Canceled", L13="Reject", L13="Rejected"), "Cancel / Rejected",
   P13&lt;&gt;"", "MSS Done Send",
   N13="MSS Need Send", "MSS Need Send",
   TRUE, "Waiting Approval"
)</f>
        <v>Waiting Approval</v>
      </c>
      <c r="S13" t="str" cm="1">
        <f t="array" ref="S13">_xlfn.IFS(
   OR(M13="Cancel", M13="Canceled", M13="Reject", M13="Rejected", K13="Cancel", K13="Canceled", K13="Reject", K13="Rejected", L13="Cancel", L13="Canceled", L13="Reject", L13="Rejected"), "Cancel / Rejected",
   R13&lt;&gt;"", "KSO Done Send",
   Q13="MSS Need Send", "MSS Need Send",
   O13="KSO Need Send", "KSO Need Send",
   TRUE, "Waiting Approval"
)</f>
        <v>Waiting Approval</v>
      </c>
    </row>
    <row r="14" spans="1:19" x14ac:dyDescent="0.25">
      <c r="A14" s="1" t="s">
        <v>1420</v>
      </c>
      <c r="B14" s="1" t="s">
        <v>1276</v>
      </c>
      <c r="C14" t="str">
        <f>_xlfn.XLOOKUP(B14,Engpar!A:A,Engpar!C:C)</f>
        <v>TUMBANG BAHAN</v>
      </c>
      <c r="D14" t="str">
        <f>_xlfn.XLOOKUP(B14,Engpar!A:A,Engpar!F:F)</f>
        <v>KALIMANTAN TENGAH</v>
      </c>
      <c r="E14" t="str">
        <f>_xlfn.XLOOKUP(B14,Engpar!A:A,Engpar!G:G)</f>
        <v>SERUYAN</v>
      </c>
      <c r="F14">
        <f>_xlfn.XLOOKUP(B14,Engpar!A:A,Engpar!J:J)</f>
        <v>-1.1118600000000001</v>
      </c>
      <c r="G14">
        <f>_xlfn.XLOOKUP(B14,Engpar!A:A,Engpar!K:K)</f>
        <v>111.99156000000001</v>
      </c>
      <c r="H14" t="str">
        <f>_xlfn.XLOOKUP(A14,Claim!C:C,Claim!I:I)</f>
        <v>INVERTER 300 W</v>
      </c>
      <c r="I14">
        <f>_xlfn.XLOOKUP(A14,Claim!C:C,Claim!J:J)</f>
        <v>1</v>
      </c>
      <c r="J14" t="str">
        <f>_xlfn.XLOOKUP(A14,Claim!C:C,Claim!M:M)</f>
        <v>PRE_APPROVAL</v>
      </c>
      <c r="K14" t="str">
        <f>_xlfn.XLOOKUP(A14,Claim!C:C,Claim!O:O)</f>
        <v>KSO Pending</v>
      </c>
      <c r="L14" t="str">
        <f>_xlfn.XLOOKUP(A14,Claim!C:C,Claim!P:P)</f>
        <v>-</v>
      </c>
      <c r="M14" t="str">
        <f>_xlfn.XLOOKUP(A14,Claim!C:C,Claim!Q:Q)</f>
        <v>-</v>
      </c>
      <c r="N14" t="str" cm="1">
        <f t="array" ref="N14">_xlfn.IFS(
   OR(L14="Cancel", L14="Canceled", L14="Reject", L14="Rejected"), "Cancel / Rejected",
   AND(OR(J14="Request_Garansi", J14="Perbaikan_Asset"), OR(L14="Approved", L14="PMO Pending")), "MSS Need Send",
   TRUE, "Waiting Approval"
)</f>
        <v>Waiting Approval</v>
      </c>
      <c r="O14" t="str" cm="1">
        <f t="array" ref="O14">_xlfn.IFS(
   OR(M14="Cancel", M14="Canceled", M14="Reject", M14="Rejected", K14="Cancel", K14="Canceled", K14="Reject", K14="Rejected", L14="Cancel", L14="Canceled", L14="Reject", L14="Rejected"), "Cancel / Rejected",
   AND(OR(J14="Perbaikan_Asset"), OR(M14="KSO Pending")), "KSO Need Send",
   TRUE, "Waiting Approval"
)</f>
        <v>Waiting Approval</v>
      </c>
      <c r="Q14" t="str" cm="1">
        <f t="array" ref="Q14">_xlfn.IFS(
   OR(M14="Cancel", M14="Canceled", M14="Reject", M14="Rejected", K14="Cancel", K14="Canceled", K14="Reject", K14="Rejected", L14="Cancel", L14="Canceled", L14="Reject", L14="Rejected"), "Cancel / Rejected",
   P14&lt;&gt;"", "MSS Done Send",
   N14="MSS Need Send", "MSS Need Send",
   TRUE, "Waiting Approval"
)</f>
        <v>Waiting Approval</v>
      </c>
      <c r="S14" t="str" cm="1">
        <f t="array" ref="S14">_xlfn.IFS(
   OR(M14="Cancel", M14="Canceled", M14="Reject", M14="Rejected", K14="Cancel", K14="Canceled", K14="Reject", K14="Rejected", L14="Cancel", L14="Canceled", L14="Reject", L14="Rejected"), "Cancel / Rejected",
   R14&lt;&gt;"", "KSO Done Send",
   Q14="MSS Need Send", "MSS Need Send",
   O14="KSO Need Send", "KSO Need Send",
   TRUE, "Waiting Approval"
)</f>
        <v>Waiting Approval</v>
      </c>
    </row>
    <row r="15" spans="1:19" x14ac:dyDescent="0.25">
      <c r="A15" s="1" t="s">
        <v>1422</v>
      </c>
      <c r="B15" s="1" t="s">
        <v>1316</v>
      </c>
      <c r="C15" t="str">
        <f>_xlfn.XLOOKUP(B15,Engpar!A:A,Engpar!C:C)</f>
        <v>TUMBANG SETAWAI</v>
      </c>
      <c r="D15" t="str">
        <f>_xlfn.XLOOKUP(B15,Engpar!A:A,Engpar!F:F)</f>
        <v>KALIMANTAN TENGAH</v>
      </c>
      <c r="E15" t="str">
        <f>_xlfn.XLOOKUP(B15,Engpar!A:A,Engpar!G:G)</f>
        <v>SERUYAN</v>
      </c>
      <c r="F15">
        <f>_xlfn.XLOOKUP(B15,Engpar!A:A,Engpar!J:J)</f>
        <v>-0.95931999999999995</v>
      </c>
      <c r="G15">
        <f>_xlfn.XLOOKUP(B15,Engpar!A:A,Engpar!K:K)</f>
        <v>112.06981</v>
      </c>
      <c r="H15" t="str">
        <f>_xlfn.XLOOKUP(A15,Claim!C:C,Claim!I:I)</f>
        <v>INVERTER 300 W</v>
      </c>
      <c r="I15">
        <f>_xlfn.XLOOKUP(A15,Claim!C:C,Claim!J:J)</f>
        <v>1</v>
      </c>
      <c r="J15" t="str">
        <f>_xlfn.XLOOKUP(A15,Claim!C:C,Claim!M:M)</f>
        <v>PRE_APPROVAL</v>
      </c>
      <c r="K15" t="str">
        <f>_xlfn.XLOOKUP(A15,Claim!C:C,Claim!O:O)</f>
        <v>KSO Pending</v>
      </c>
      <c r="L15" t="str">
        <f>_xlfn.XLOOKUP(A15,Claim!C:C,Claim!P:P)</f>
        <v>-</v>
      </c>
      <c r="M15" t="str">
        <f>_xlfn.XLOOKUP(A15,Claim!C:C,Claim!Q:Q)</f>
        <v>-</v>
      </c>
      <c r="N15" t="str" cm="1">
        <f t="array" ref="N15">_xlfn.IFS(
   OR(L15="Cancel", L15="Canceled", L15="Reject", L15="Rejected"), "Cancel / Rejected",
   AND(OR(J15="Request_Garansi", J15="Perbaikan_Asset"), OR(L15="Approved", L15="PMO Pending")), "MSS Need Send",
   TRUE, "Waiting Approval"
)</f>
        <v>Waiting Approval</v>
      </c>
      <c r="O15" t="str" cm="1">
        <f t="array" ref="O15">_xlfn.IFS(
   OR(M15="Cancel", M15="Canceled", M15="Reject", M15="Rejected", K15="Cancel", K15="Canceled", K15="Reject", K15="Rejected", L15="Cancel", L15="Canceled", L15="Reject", L15="Rejected"), "Cancel / Rejected",
   AND(OR(J15="Perbaikan_Asset"), OR(M15="KSO Pending")), "KSO Need Send",
   TRUE, "Waiting Approval"
)</f>
        <v>Waiting Approval</v>
      </c>
      <c r="Q15" t="str" cm="1">
        <f t="array" ref="Q15">_xlfn.IFS(
   OR(M15="Cancel", M15="Canceled", M15="Reject", M15="Rejected", K15="Cancel", K15="Canceled", K15="Reject", K15="Rejected", L15="Cancel", L15="Canceled", L15="Reject", L15="Rejected"), "Cancel / Rejected",
   P15&lt;&gt;"", "MSS Done Send",
   N15="MSS Need Send", "MSS Need Send",
   TRUE, "Waiting Approval"
)</f>
        <v>Waiting Approval</v>
      </c>
      <c r="S15" t="str" cm="1">
        <f t="array" ref="S15">_xlfn.IFS(
   OR(M15="Cancel", M15="Canceled", M15="Reject", M15="Rejected", K15="Cancel", K15="Canceled", K15="Reject", K15="Rejected", L15="Cancel", L15="Canceled", L15="Reject", L15="Rejected"), "Cancel / Rejected",
   R15&lt;&gt;"", "KSO Done Send",
   Q15="MSS Need Send", "MSS Need Send",
   O15="KSO Need Send", "KSO Need Send",
   TRUE, "Waiting Approval"
)</f>
        <v>Waiting Approval</v>
      </c>
    </row>
    <row r="16" spans="1:19" x14ac:dyDescent="0.25">
      <c r="A16" s="1" t="s">
        <v>1424</v>
      </c>
      <c r="B16" s="1" t="s">
        <v>1316</v>
      </c>
      <c r="C16" t="str">
        <f>_xlfn.XLOOKUP(B16,Engpar!A:A,Engpar!C:C)</f>
        <v>TUMBANG SETAWAI</v>
      </c>
      <c r="D16" t="str">
        <f>_xlfn.XLOOKUP(B16,Engpar!A:A,Engpar!F:F)</f>
        <v>KALIMANTAN TENGAH</v>
      </c>
      <c r="E16" t="str">
        <f>_xlfn.XLOOKUP(B16,Engpar!A:A,Engpar!G:G)</f>
        <v>SERUYAN</v>
      </c>
      <c r="F16">
        <f>_xlfn.XLOOKUP(B16,Engpar!A:A,Engpar!J:J)</f>
        <v>-0.95931999999999995</v>
      </c>
      <c r="G16">
        <f>_xlfn.XLOOKUP(B16,Engpar!A:A,Engpar!K:K)</f>
        <v>112.06981</v>
      </c>
      <c r="H16" t="str">
        <f>_xlfn.XLOOKUP(A16,Claim!C:C,Claim!I:I)</f>
        <v>BATERAI</v>
      </c>
      <c r="I16">
        <f>_xlfn.XLOOKUP(A16,Claim!C:C,Claim!J:J)</f>
        <v>1</v>
      </c>
      <c r="J16" t="str">
        <f>_xlfn.XLOOKUP(A16,Claim!C:C,Claim!M:M)</f>
        <v>PRE_APPROVAL</v>
      </c>
      <c r="K16" t="str">
        <f>_xlfn.XLOOKUP(A16,Claim!C:C,Claim!O:O)</f>
        <v>KSO Pending</v>
      </c>
      <c r="L16" t="str">
        <f>_xlfn.XLOOKUP(A16,Claim!C:C,Claim!P:P)</f>
        <v>-</v>
      </c>
      <c r="M16" t="str">
        <f>_xlfn.XLOOKUP(A16,Claim!C:C,Claim!Q:Q)</f>
        <v>-</v>
      </c>
      <c r="N16" t="str" cm="1">
        <f t="array" ref="N16">_xlfn.IFS(
   OR(L16="Cancel", L16="Canceled", L16="Reject", L16="Rejected"), "Cancel / Rejected",
   AND(OR(J16="Request_Garansi", J16="Perbaikan_Asset"), OR(L16="Approved", L16="PMO Pending")), "MSS Need Send",
   TRUE, "Waiting Approval"
)</f>
        <v>Waiting Approval</v>
      </c>
      <c r="O16" t="str" cm="1">
        <f t="array" ref="O16">_xlfn.IFS(
   OR(M16="Cancel", M16="Canceled", M16="Reject", M16="Rejected", K16="Cancel", K16="Canceled", K16="Reject", K16="Rejected", L16="Cancel", L16="Canceled", L16="Reject", L16="Rejected"), "Cancel / Rejected",
   AND(OR(J16="Perbaikan_Asset"), OR(M16="KSO Pending")), "KSO Need Send",
   TRUE, "Waiting Approval"
)</f>
        <v>Waiting Approval</v>
      </c>
      <c r="Q16" t="str" cm="1">
        <f t="array" ref="Q16">_xlfn.IFS(
   OR(M16="Cancel", M16="Canceled", M16="Reject", M16="Rejected", K16="Cancel", K16="Canceled", K16="Reject", K16="Rejected", L16="Cancel", L16="Canceled", L16="Reject", L16="Rejected"), "Cancel / Rejected",
   P16&lt;&gt;"", "MSS Done Send",
   N16="MSS Need Send", "MSS Need Send",
   TRUE, "Waiting Approval"
)</f>
        <v>Waiting Approval</v>
      </c>
      <c r="S16" t="str" cm="1">
        <f t="array" ref="S16">_xlfn.IFS(
   OR(M16="Cancel", M16="Canceled", M16="Reject", M16="Rejected", K16="Cancel", K16="Canceled", K16="Reject", K16="Rejected", L16="Cancel", L16="Canceled", L16="Reject", L16="Rejected"), "Cancel / Rejected",
   R16&lt;&gt;"", "KSO Done Send",
   Q16="MSS Need Send", "MSS Need Send",
   O16="KSO Need Send", "KSO Need Send",
   TRUE, "Waiting Approval"
)</f>
        <v>Waiting Approval</v>
      </c>
    </row>
    <row r="17" spans="1:19" x14ac:dyDescent="0.25">
      <c r="A17" s="1" t="s">
        <v>1426</v>
      </c>
      <c r="B17" s="1" t="s">
        <v>1089</v>
      </c>
      <c r="C17" t="str">
        <f>_xlfn.XLOOKUP(B17,Engpar!A:A,Engpar!C:C)</f>
        <v>TUMBANG DARAP</v>
      </c>
      <c r="D17" t="str">
        <f>_xlfn.XLOOKUP(B17,Engpar!A:A,Engpar!F:F)</f>
        <v>KALIMANTAN TENGAH</v>
      </c>
      <c r="E17" t="str">
        <f>_xlfn.XLOOKUP(B17,Engpar!A:A,Engpar!G:G)</f>
        <v>SERUYAN</v>
      </c>
      <c r="F17">
        <f>_xlfn.XLOOKUP(B17,Engpar!A:A,Engpar!J:J)</f>
        <v>-1.05169</v>
      </c>
      <c r="G17">
        <f>_xlfn.XLOOKUP(B17,Engpar!A:A,Engpar!K:K)</f>
        <v>112.00709999999999</v>
      </c>
      <c r="H17" t="str">
        <f>_xlfn.XLOOKUP(A17,Claim!C:C,Claim!I:I)</f>
        <v>INVERTER 300 W</v>
      </c>
      <c r="I17">
        <f>_xlfn.XLOOKUP(A17,Claim!C:C,Claim!J:J)</f>
        <v>1</v>
      </c>
      <c r="J17" t="str">
        <f>_xlfn.XLOOKUP(A17,Claim!C:C,Claim!M:M)</f>
        <v>PRE_APPROVAL</v>
      </c>
      <c r="K17" t="str">
        <f>_xlfn.XLOOKUP(A17,Claim!C:C,Claim!O:O)</f>
        <v>KSO Pending</v>
      </c>
      <c r="L17" t="str">
        <f>_xlfn.XLOOKUP(A17,Claim!C:C,Claim!P:P)</f>
        <v>-</v>
      </c>
      <c r="M17" t="str">
        <f>_xlfn.XLOOKUP(A17,Claim!C:C,Claim!Q:Q)</f>
        <v>-</v>
      </c>
      <c r="N17" t="str" cm="1">
        <f t="array" ref="N17">_xlfn.IFS(
   OR(L17="Cancel", L17="Canceled", L17="Reject", L17="Rejected"), "Cancel / Rejected",
   AND(OR(J17="Request_Garansi", J17="Perbaikan_Asset"), OR(L17="Approved", L17="PMO Pending")), "MSS Need Send",
   TRUE, "Waiting Approval"
)</f>
        <v>Waiting Approval</v>
      </c>
      <c r="O17" t="str" cm="1">
        <f t="array" ref="O17">_xlfn.IFS(
   OR(M17="Cancel", M17="Canceled", M17="Reject", M17="Rejected", K17="Cancel", K17="Canceled", K17="Reject", K17="Rejected", L17="Cancel", L17="Canceled", L17="Reject", L17="Rejected"), "Cancel / Rejected",
   AND(OR(J17="Perbaikan_Asset"), OR(M17="KSO Pending")), "KSO Need Send",
   TRUE, "Waiting Approval"
)</f>
        <v>Waiting Approval</v>
      </c>
      <c r="Q17" t="str" cm="1">
        <f t="array" ref="Q17">_xlfn.IFS(
   OR(M17="Cancel", M17="Canceled", M17="Reject", M17="Rejected", K17="Cancel", K17="Canceled", K17="Reject", K17="Rejected", L17="Cancel", L17="Canceled", L17="Reject", L17="Rejected"), "Cancel / Rejected",
   P17&lt;&gt;"", "MSS Done Send",
   N17="MSS Need Send", "MSS Need Send",
   TRUE, "Waiting Approval"
)</f>
        <v>Waiting Approval</v>
      </c>
      <c r="S17" t="str" cm="1">
        <f t="array" ref="S17">_xlfn.IFS(
   OR(M17="Cancel", M17="Canceled", M17="Reject", M17="Rejected", K17="Cancel", K17="Canceled", K17="Reject", K17="Rejected", L17="Cancel", L17="Canceled", L17="Reject", L17="Rejected"), "Cancel / Rejected",
   R17&lt;&gt;"", "KSO Done Send",
   Q17="MSS Need Send", "MSS Need Send",
   O17="KSO Need Send", "KSO Need Send",
   TRUE, "Waiting Approval"
)</f>
        <v>Waiting Approval</v>
      </c>
    </row>
    <row r="18" spans="1:19" x14ac:dyDescent="0.25">
      <c r="A18" s="1" t="s">
        <v>1428</v>
      </c>
      <c r="B18" s="1" t="s">
        <v>1250</v>
      </c>
      <c r="C18" t="str">
        <f>_xlfn.XLOOKUP(B18,Engpar!A:A,Engpar!C:C)</f>
        <v>SEPUNDU HANTU</v>
      </c>
      <c r="D18" t="str">
        <f>_xlfn.XLOOKUP(B18,Engpar!A:A,Engpar!F:F)</f>
        <v>KALIMANTAN TENGAH</v>
      </c>
      <c r="E18" t="str">
        <f>_xlfn.XLOOKUP(B18,Engpar!A:A,Engpar!G:G)</f>
        <v>SERUYAN</v>
      </c>
      <c r="F18">
        <f>_xlfn.XLOOKUP(B18,Engpar!A:A,Engpar!J:J)</f>
        <v>-1.17205</v>
      </c>
      <c r="G18">
        <f>_xlfn.XLOOKUP(B18,Engpar!A:A,Engpar!K:K)</f>
        <v>111.77786</v>
      </c>
      <c r="H18" t="str">
        <f>_xlfn.XLOOKUP(A18,Claim!C:C,Claim!I:I)</f>
        <v>INVERTER 300 W</v>
      </c>
      <c r="I18">
        <f>_xlfn.XLOOKUP(A18,Claim!C:C,Claim!J:J)</f>
        <v>1</v>
      </c>
      <c r="J18" t="str">
        <f>_xlfn.XLOOKUP(A18,Claim!C:C,Claim!M:M)</f>
        <v>PRE_APPROVAL</v>
      </c>
      <c r="K18" t="str">
        <f>_xlfn.XLOOKUP(A18,Claim!C:C,Claim!O:O)</f>
        <v>KSO Pending</v>
      </c>
      <c r="L18" t="str">
        <f>_xlfn.XLOOKUP(A18,Claim!C:C,Claim!P:P)</f>
        <v>-</v>
      </c>
      <c r="M18" t="str">
        <f>_xlfn.XLOOKUP(A18,Claim!C:C,Claim!Q:Q)</f>
        <v>-</v>
      </c>
      <c r="N18" t="str" cm="1">
        <f t="array" ref="N18">_xlfn.IFS(
   OR(L18="Cancel", L18="Canceled", L18="Reject", L18="Rejected"), "Cancel / Rejected",
   AND(OR(J18="Request_Garansi", J18="Perbaikan_Asset"), OR(L18="Approved", L18="PMO Pending")), "MSS Need Send",
   TRUE, "Waiting Approval"
)</f>
        <v>Waiting Approval</v>
      </c>
      <c r="O18" t="str" cm="1">
        <f t="array" ref="O18">_xlfn.IFS(
   OR(M18="Cancel", M18="Canceled", M18="Reject", M18="Rejected", K18="Cancel", K18="Canceled", K18="Reject", K18="Rejected", L18="Cancel", L18="Canceled", L18="Reject", L18="Rejected"), "Cancel / Rejected",
   AND(OR(J18="Perbaikan_Asset"), OR(M18="KSO Pending")), "KSO Need Send",
   TRUE, "Waiting Approval"
)</f>
        <v>Waiting Approval</v>
      </c>
      <c r="P18" s="2"/>
      <c r="Q18" t="str" cm="1">
        <f t="array" ref="Q18">_xlfn.IFS(
   OR(M18="Cancel", M18="Canceled", M18="Reject", M18="Rejected", K18="Cancel", K18="Canceled", K18="Reject", K18="Rejected", L18="Cancel", L18="Canceled", L18="Reject", L18="Rejected"), "Cancel / Rejected",
   P18&lt;&gt;"", "MSS Done Send",
   N18="MSS Need Send", "MSS Need Send",
   TRUE, "Waiting Approval"
)</f>
        <v>Waiting Approval</v>
      </c>
      <c r="S18" t="str" cm="1">
        <f t="array" ref="S18">_xlfn.IFS(
   OR(M18="Cancel", M18="Canceled", M18="Reject", M18="Rejected", K18="Cancel", K18="Canceled", K18="Reject", K18="Rejected", L18="Cancel", L18="Canceled", L18="Reject", L18="Rejected"), "Cancel / Rejected",
   R18&lt;&gt;"", "KSO Done Send",
   Q18="MSS Need Send", "MSS Need Send",
   O18="KSO Need Send", "KSO Need Send",
   TRUE, "Waiting Approval"
)</f>
        <v>Waiting Approval</v>
      </c>
    </row>
    <row r="19" spans="1:19" x14ac:dyDescent="0.25">
      <c r="A19" s="1" t="s">
        <v>1430</v>
      </c>
      <c r="B19" s="1" t="s">
        <v>429</v>
      </c>
      <c r="C19" t="str">
        <f>_xlfn.XLOOKUP(B19,Engpar!A:A,Engpar!C:C)</f>
        <v>LONG HURAI</v>
      </c>
      <c r="D19" t="str">
        <f>_xlfn.XLOOKUP(B19,Engpar!A:A,Engpar!F:F)</f>
        <v>KALIMANTAN TIMUR</v>
      </c>
      <c r="E19" t="str">
        <f>_xlfn.XLOOKUP(B19,Engpar!A:A,Engpar!G:G)</f>
        <v>MAHAKAM ULU</v>
      </c>
      <c r="F19">
        <f>_xlfn.XLOOKUP(B19,Engpar!A:A,Engpar!J:J)</f>
        <v>0.37347999999999998</v>
      </c>
      <c r="G19">
        <f>_xlfn.XLOOKUP(B19,Engpar!A:A,Engpar!K:K)</f>
        <v>115.43313999999999</v>
      </c>
      <c r="H19" t="str">
        <f>_xlfn.XLOOKUP(A19,Claim!C:C,Claim!I:I)</f>
        <v>INVERTER 300 W</v>
      </c>
      <c r="I19">
        <f>_xlfn.XLOOKUP(A19,Claim!C:C,Claim!J:J)</f>
        <v>1</v>
      </c>
      <c r="J19" t="str">
        <f>_xlfn.XLOOKUP(A19,Claim!C:C,Claim!M:M)</f>
        <v>PRE_APPROVAL</v>
      </c>
      <c r="K19" t="str">
        <f>_xlfn.XLOOKUP(A19,Claim!C:C,Claim!O:O)</f>
        <v>KSO Pending</v>
      </c>
      <c r="L19" t="str">
        <f>_xlfn.XLOOKUP(A19,Claim!C:C,Claim!P:P)</f>
        <v>-</v>
      </c>
      <c r="M19" t="str">
        <f>_xlfn.XLOOKUP(A19,Claim!C:C,Claim!Q:Q)</f>
        <v>-</v>
      </c>
      <c r="N19" t="str" cm="1">
        <f t="array" ref="N19">_xlfn.IFS(
   OR(L19="Cancel", L19="Canceled", L19="Reject", L19="Rejected"), "Cancel / Rejected",
   AND(OR(J19="Request_Garansi", J19="Perbaikan_Asset"), OR(L19="Approved", L19="PMO Pending")), "MSS Need Send",
   TRUE, "Waiting Approval"
)</f>
        <v>Waiting Approval</v>
      </c>
      <c r="O19" t="str" cm="1">
        <f t="array" ref="O19">_xlfn.IFS(
   OR(M19="Cancel", M19="Canceled", M19="Reject", M19="Rejected", K19="Cancel", K19="Canceled", K19="Reject", K19="Rejected", L19="Cancel", L19="Canceled", L19="Reject", L19="Rejected"), "Cancel / Rejected",
   AND(OR(J19="Perbaikan_Asset"), OR(M19="KSO Pending")), "KSO Need Send",
   TRUE, "Waiting Approval"
)</f>
        <v>Waiting Approval</v>
      </c>
      <c r="Q19" t="str" cm="1">
        <f t="array" ref="Q19">_xlfn.IFS(
   OR(M19="Cancel", M19="Canceled", M19="Reject", M19="Rejected", K19="Cancel", K19="Canceled", K19="Reject", K19="Rejected", L19="Cancel", L19="Canceled", L19="Reject", L19="Rejected"), "Cancel / Rejected",
   P19&lt;&gt;"", "MSS Done Send",
   N19="MSS Need Send", "MSS Need Send",
   TRUE, "Waiting Approval"
)</f>
        <v>Waiting Approval</v>
      </c>
      <c r="S19" t="str" cm="1">
        <f t="array" ref="S19">_xlfn.IFS(
   OR(M19="Cancel", M19="Canceled", M19="Reject", M19="Rejected", K19="Cancel", K19="Canceled", K19="Reject", K19="Rejected", L19="Cancel", L19="Canceled", L19="Reject", L19="Rejected"), "Cancel / Rejected",
   R19&lt;&gt;"", "KSO Done Send",
   Q19="MSS Need Send", "MSS Need Send",
   O19="KSO Need Send", "KSO Need Send",
   TRUE, "Waiting Approval"
)</f>
        <v>Waiting Approval</v>
      </c>
    </row>
    <row r="20" spans="1:19" x14ac:dyDescent="0.25">
      <c r="A20" s="1" t="s">
        <v>1432</v>
      </c>
      <c r="B20" s="1" t="s">
        <v>54</v>
      </c>
      <c r="C20" t="str">
        <f>_xlfn.XLOOKUP(B20,Engpar!A:A,Engpar!C:C)</f>
        <v>MARUKANGAN</v>
      </c>
      <c r="D20" t="str">
        <f>_xlfn.XLOOKUP(B20,Engpar!A:A,Engpar!F:F)</f>
        <v>KALIMANTAN TIMUR</v>
      </c>
      <c r="E20" t="str">
        <f>_xlfn.XLOOKUP(B20,Engpar!A:A,Engpar!G:G)</f>
        <v>KUTAI TIMUR</v>
      </c>
      <c r="F20">
        <f>_xlfn.XLOOKUP(B20,Engpar!A:A,Engpar!J:J)</f>
        <v>0.86653000000000002</v>
      </c>
      <c r="G20">
        <f>_xlfn.XLOOKUP(B20,Engpar!A:A,Engpar!K:K)</f>
        <v>118.32862</v>
      </c>
      <c r="H20" t="str">
        <f>_xlfn.XLOOKUP(A20,Claim!C:C,Claim!I:I)</f>
        <v>MODEM</v>
      </c>
      <c r="I20">
        <f>_xlfn.XLOOKUP(A20,Claim!C:C,Claim!J:J)</f>
        <v>1</v>
      </c>
      <c r="J20" t="str">
        <f>_xlfn.XLOOKUP(A20,Claim!C:C,Claim!M:M)</f>
        <v>PRE_APPROVAL</v>
      </c>
      <c r="K20" t="str">
        <f>_xlfn.XLOOKUP(A20,Claim!C:C,Claim!O:O)</f>
        <v>KSO Pending</v>
      </c>
      <c r="L20" t="str">
        <f>_xlfn.XLOOKUP(A20,Claim!C:C,Claim!P:P)</f>
        <v>-</v>
      </c>
      <c r="M20" t="str">
        <f>_xlfn.XLOOKUP(A20,Claim!C:C,Claim!Q:Q)</f>
        <v>-</v>
      </c>
      <c r="N20" t="str" cm="1">
        <f t="array" ref="N20">_xlfn.IFS(
   OR(L20="Cancel", L20="Canceled", L20="Reject", L20="Rejected"), "Cancel / Rejected",
   AND(OR(J20="Request_Garansi", J20="Perbaikan_Asset"), OR(L20="Approved", L20="PMO Pending")), "MSS Need Send",
   TRUE, "Waiting Approval"
)</f>
        <v>Waiting Approval</v>
      </c>
      <c r="O20" t="str" cm="1">
        <f t="array" ref="O20">_xlfn.IFS(
   OR(M20="Cancel", M20="Canceled", M20="Reject", M20="Rejected", K20="Cancel", K20="Canceled", K20="Reject", K20="Rejected", L20="Cancel", L20="Canceled", L20="Reject", L20="Rejected"), "Cancel / Rejected",
   AND(OR(J20="Perbaikan_Asset"), OR(M20="KSO Pending")), "KSO Need Send",
   TRUE, "Waiting Approval"
)</f>
        <v>Waiting Approval</v>
      </c>
      <c r="Q20" t="str" cm="1">
        <f t="array" ref="Q20">_xlfn.IFS(
   OR(M20="Cancel", M20="Canceled", M20="Reject", M20="Rejected", K20="Cancel", K20="Canceled", K20="Reject", K20="Rejected", L20="Cancel", L20="Canceled", L20="Reject", L20="Rejected"), "Cancel / Rejected",
   P20&lt;&gt;"", "MSS Done Send",
   N20="MSS Need Send", "MSS Need Send",
   TRUE, "Waiting Approval"
)</f>
        <v>Waiting Approval</v>
      </c>
      <c r="S20" t="str" cm="1">
        <f t="array" ref="S20">_xlfn.IFS(
   OR(M20="Cancel", M20="Canceled", M20="Reject", M20="Rejected", K20="Cancel", K20="Canceled", K20="Reject", K20="Rejected", L20="Cancel", L20="Canceled", L20="Reject", L20="Rejected"), "Cancel / Rejected",
   R20&lt;&gt;"", "KSO Done Send",
   Q20="MSS Need Send", "MSS Need Send",
   O20="KSO Need Send", "KSO Need Send",
   TRUE, "Waiting Approval"
)</f>
        <v>Waiting Approval</v>
      </c>
    </row>
    <row r="21" spans="1:19" x14ac:dyDescent="0.25">
      <c r="A21" s="1" t="s">
        <v>1434</v>
      </c>
      <c r="B21" s="1" t="s">
        <v>54</v>
      </c>
      <c r="C21" t="str">
        <f>_xlfn.XLOOKUP(B21,Engpar!A:A,Engpar!C:C)</f>
        <v>MARUKANGAN</v>
      </c>
      <c r="D21" t="str">
        <f>_xlfn.XLOOKUP(B21,Engpar!A:A,Engpar!F:F)</f>
        <v>KALIMANTAN TIMUR</v>
      </c>
      <c r="E21" t="str">
        <f>_xlfn.XLOOKUP(B21,Engpar!A:A,Engpar!G:G)</f>
        <v>KUTAI TIMUR</v>
      </c>
      <c r="F21">
        <f>_xlfn.XLOOKUP(B21,Engpar!A:A,Engpar!J:J)</f>
        <v>0.86653000000000002</v>
      </c>
      <c r="G21">
        <f>_xlfn.XLOOKUP(B21,Engpar!A:A,Engpar!K:K)</f>
        <v>118.32862</v>
      </c>
      <c r="H21" t="str">
        <f>_xlfn.XLOOKUP(A21,Claim!C:C,Claim!I:I)</f>
        <v>INVERTER 300 W</v>
      </c>
      <c r="I21">
        <f>_xlfn.XLOOKUP(A21,Claim!C:C,Claim!J:J)</f>
        <v>1</v>
      </c>
      <c r="J21" t="str">
        <f>_xlfn.XLOOKUP(A21,Claim!C:C,Claim!M:M)</f>
        <v>PRE_APPROVAL</v>
      </c>
      <c r="K21" t="str">
        <f>_xlfn.XLOOKUP(A21,Claim!C:C,Claim!O:O)</f>
        <v>KSO Pending</v>
      </c>
      <c r="L21" t="str">
        <f>_xlfn.XLOOKUP(A21,Claim!C:C,Claim!P:P)</f>
        <v>-</v>
      </c>
      <c r="M21" t="str">
        <f>_xlfn.XLOOKUP(A21,Claim!C:C,Claim!Q:Q)</f>
        <v>-</v>
      </c>
      <c r="N21" t="str" cm="1">
        <f t="array" ref="N21">_xlfn.IFS(
   OR(L21="Cancel", L21="Canceled", L21="Reject", L21="Rejected"), "Cancel / Rejected",
   AND(OR(J21="Request_Garansi", J21="Perbaikan_Asset"), OR(L21="Approved", L21="PMO Pending")), "MSS Need Send",
   TRUE, "Waiting Approval"
)</f>
        <v>Waiting Approval</v>
      </c>
      <c r="O21" t="str" cm="1">
        <f t="array" ref="O21">_xlfn.IFS(
   OR(M21="Cancel", M21="Canceled", M21="Reject", M21="Rejected", K21="Cancel", K21="Canceled", K21="Reject", K21="Rejected", L21="Cancel", L21="Canceled", L21="Reject", L21="Rejected"), "Cancel / Rejected",
   AND(OR(J21="Perbaikan_Asset"), OR(M21="KSO Pending")), "KSO Need Send",
   TRUE, "Waiting Approval"
)</f>
        <v>Waiting Approval</v>
      </c>
      <c r="Q21" t="str" cm="1">
        <f t="array" ref="Q21">_xlfn.IFS(
   OR(M21="Cancel", M21="Canceled", M21="Reject", M21="Rejected", K21="Cancel", K21="Canceled", K21="Reject", K21="Rejected", L21="Cancel", L21="Canceled", L21="Reject", L21="Rejected"), "Cancel / Rejected",
   P21&lt;&gt;"", "MSS Done Send",
   N21="MSS Need Send", "MSS Need Send",
   TRUE, "Waiting Approval"
)</f>
        <v>Waiting Approval</v>
      </c>
      <c r="S21" t="str" cm="1">
        <f t="array" ref="S21">_xlfn.IFS(
   OR(M21="Cancel", M21="Canceled", M21="Reject", M21="Rejected", K21="Cancel", K21="Canceled", K21="Reject", K21="Rejected", L21="Cancel", L21="Canceled", L21="Reject", L21="Rejected"), "Cancel / Rejected",
   R21&lt;&gt;"", "KSO Done Send",
   Q21="MSS Need Send", "MSS Need Send",
   O21="KSO Need Send", "KSO Need Send",
   TRUE, "Waiting Approval"
)</f>
        <v>Waiting Approval</v>
      </c>
    </row>
    <row r="22" spans="1:19" x14ac:dyDescent="0.25">
      <c r="A22" s="1" t="s">
        <v>1436</v>
      </c>
      <c r="B22" s="1" t="s">
        <v>1172</v>
      </c>
      <c r="C22" t="str">
        <f>_xlfn.XLOOKUP(B22,Engpar!A:A,Engpar!C:C)</f>
        <v>NUSA KUTAU</v>
      </c>
      <c r="D22" t="str">
        <f>_xlfn.XLOOKUP(B22,Engpar!A:A,Engpar!F:F)</f>
        <v>KALIMANTAN TENGAH</v>
      </c>
      <c r="E22" t="str">
        <f>_xlfn.XLOOKUP(B22,Engpar!A:A,Engpar!G:G)</f>
        <v>KATINGAN</v>
      </c>
      <c r="F22">
        <f>_xlfn.XLOOKUP(B22,Engpar!A:A,Engpar!J:J)</f>
        <v>-0.97377999999999998</v>
      </c>
      <c r="G22">
        <f>_xlfn.XLOOKUP(B22,Engpar!A:A,Engpar!K:K)</f>
        <v>112.91365999999999</v>
      </c>
      <c r="H22" t="str">
        <f>_xlfn.XLOOKUP(A22,Claim!C:C,Claim!I:I)</f>
        <v>BATERAI</v>
      </c>
      <c r="I22">
        <f>_xlfn.XLOOKUP(A22,Claim!C:C,Claim!J:J)</f>
        <v>1</v>
      </c>
      <c r="J22" t="str">
        <f>_xlfn.XLOOKUP(A22,Claim!C:C,Claim!M:M)</f>
        <v>REQUEST_GARANSI</v>
      </c>
      <c r="K22" t="str">
        <f>_xlfn.XLOOKUP(A22,Claim!C:C,Claim!O:O)</f>
        <v>Approved</v>
      </c>
      <c r="L22" t="str">
        <f>_xlfn.XLOOKUP(A22,Claim!C:C,Claim!P:P)</f>
        <v>MSS Pending Form</v>
      </c>
      <c r="M22" t="str">
        <f>_xlfn.XLOOKUP(A22,Claim!C:C,Claim!Q:Q)</f>
        <v>-</v>
      </c>
      <c r="N22" t="str" cm="1">
        <f t="array" ref="N22">_xlfn.IFS(
   OR(L22="Cancel", L22="Canceled", L22="Reject", L22="Rejected"), "Cancel / Rejected",
   AND(OR(J22="Request_Garansi", J22="Perbaikan_Asset"), OR(L22="Approved", L22="PMO Pending")), "MSS Need Send",
   TRUE, "Waiting Approval"
)</f>
        <v>Waiting Approval</v>
      </c>
      <c r="O22" t="str" cm="1">
        <f t="array" ref="O22">_xlfn.IFS(
   OR(M22="Cancel", M22="Canceled", M22="Reject", M22="Rejected", K22="Cancel", K22="Canceled", K22="Reject", K22="Rejected", L22="Cancel", L22="Canceled", L22="Reject", L22="Rejected"), "Cancel / Rejected",
   AND(OR(J22="Perbaikan_Asset"), OR(M22="KSO Pending")), "KSO Need Send",
   TRUE, "Waiting Approval"
)</f>
        <v>Waiting Approval</v>
      </c>
      <c r="Q22" t="str" cm="1">
        <f t="array" ref="Q22">_xlfn.IFS(
   OR(M22="Cancel", M22="Canceled", M22="Reject", M22="Rejected", K22="Cancel", K22="Canceled", K22="Reject", K22="Rejected", L22="Cancel", L22="Canceled", L22="Reject", L22="Rejected"), "Cancel / Rejected",
   P22&lt;&gt;"", "MSS Done Send",
   N22="MSS Need Send", "MSS Need Send",
   TRUE, "Waiting Approval"
)</f>
        <v>Waiting Approval</v>
      </c>
      <c r="S22" t="str" cm="1">
        <f t="array" ref="S22">_xlfn.IFS(
   OR(M22="Cancel", M22="Canceled", M22="Reject", M22="Rejected", K22="Cancel", K22="Canceled", K22="Reject", K22="Rejected", L22="Cancel", L22="Canceled", L22="Reject", L22="Rejected"), "Cancel / Rejected",
   R22&lt;&gt;"", "KSO Done Send",
   Q22="MSS Need Send", "MSS Need Send",
   O22="KSO Need Send", "KSO Need Send",
   TRUE, "Waiting Approval"
)</f>
        <v>Waiting Approval</v>
      </c>
    </row>
    <row r="23" spans="1:19" x14ac:dyDescent="0.25">
      <c r="A23" s="1" t="s">
        <v>1438</v>
      </c>
      <c r="B23" s="1" t="s">
        <v>387</v>
      </c>
      <c r="C23" t="str">
        <f>_xlfn.XLOOKUP(B23,Engpar!A:A,Engpar!C:C)</f>
        <v>TUMBANG TANGOI</v>
      </c>
      <c r="D23" t="str">
        <f>_xlfn.XLOOKUP(B23,Engpar!A:A,Engpar!F:F)</f>
        <v>KALIMANTAN TENGAH</v>
      </c>
      <c r="E23" t="str">
        <f>_xlfn.XLOOKUP(B23,Engpar!A:A,Engpar!G:G)</f>
        <v>KATINGAN</v>
      </c>
      <c r="F23">
        <f>_xlfn.XLOOKUP(B23,Engpar!A:A,Engpar!J:J)</f>
        <v>-0.94374000000000002</v>
      </c>
      <c r="G23">
        <f>_xlfn.XLOOKUP(B23,Engpar!A:A,Engpar!K:K)</f>
        <v>113.09321</v>
      </c>
      <c r="H23" t="str">
        <f>_xlfn.XLOOKUP(A23,Claim!C:C,Claim!I:I)</f>
        <v>BATERAI</v>
      </c>
      <c r="I23">
        <f>_xlfn.XLOOKUP(A23,Claim!C:C,Claim!J:J)</f>
        <v>2</v>
      </c>
      <c r="J23" t="str">
        <f>_xlfn.XLOOKUP(A23,Claim!C:C,Claim!M:M)</f>
        <v>REQUEST_GARANSI</v>
      </c>
      <c r="K23" t="str">
        <f>_xlfn.XLOOKUP(A23,Claim!C:C,Claim!O:O)</f>
        <v>Approved</v>
      </c>
      <c r="L23" t="str">
        <f>_xlfn.XLOOKUP(A23,Claim!C:C,Claim!P:P)</f>
        <v>MSS Pending Form</v>
      </c>
      <c r="M23" t="str">
        <f>_xlfn.XLOOKUP(A23,Claim!C:C,Claim!Q:Q)</f>
        <v>-</v>
      </c>
      <c r="N23" t="str" cm="1">
        <f t="array" ref="N23">_xlfn.IFS(
   OR(L23="Cancel", L23="Canceled", L23="Reject", L23="Rejected"), "Cancel / Rejected",
   AND(OR(J23="Request_Garansi", J23="Perbaikan_Asset"), OR(L23="Approved", L23="PMO Pending")), "MSS Need Send",
   TRUE, "Waiting Approval"
)</f>
        <v>Waiting Approval</v>
      </c>
      <c r="O23" t="str" cm="1">
        <f t="array" ref="O23">_xlfn.IFS(
   OR(M23="Cancel", M23="Canceled", M23="Reject", M23="Rejected", K23="Cancel", K23="Canceled", K23="Reject", K23="Rejected", L23="Cancel", L23="Canceled", L23="Reject", L23="Rejected"), "Cancel / Rejected",
   AND(OR(J23="Perbaikan_Asset"), OR(M23="KSO Pending")), "KSO Need Send",
   TRUE, "Waiting Approval"
)</f>
        <v>Waiting Approval</v>
      </c>
      <c r="Q23" t="str" cm="1">
        <f t="array" ref="Q23">_xlfn.IFS(
   OR(M23="Cancel", M23="Canceled", M23="Reject", M23="Rejected", K23="Cancel", K23="Canceled", K23="Reject", K23="Rejected", L23="Cancel", L23="Canceled", L23="Reject", L23="Rejected"), "Cancel / Rejected",
   P23&lt;&gt;"", "MSS Done Send",
   N23="MSS Need Send", "MSS Need Send",
   TRUE, "Waiting Approval"
)</f>
        <v>Waiting Approval</v>
      </c>
      <c r="S23" t="str" cm="1">
        <f t="array" ref="S23">_xlfn.IFS(
   OR(M23="Cancel", M23="Canceled", M23="Reject", M23="Rejected", K23="Cancel", K23="Canceled", K23="Reject", K23="Rejected", L23="Cancel", L23="Canceled", L23="Reject", L23="Rejected"), "Cancel / Rejected",
   R23&lt;&gt;"", "KSO Done Send",
   Q23="MSS Need Send", "MSS Need Send",
   O23="KSO Need Send", "KSO Need Send",
   TRUE, "Waiting Approval"
)</f>
        <v>Waiting Approval</v>
      </c>
    </row>
    <row r="24" spans="1:19" x14ac:dyDescent="0.25">
      <c r="A24" s="1" t="s">
        <v>235</v>
      </c>
      <c r="B24" s="1" t="s">
        <v>227</v>
      </c>
      <c r="C24" t="str">
        <f>_xlfn.XLOOKUP(B24,Engpar!A:A,Engpar!C:C)</f>
        <v>MARANDANG</v>
      </c>
      <c r="D24" t="str">
        <f>_xlfn.XLOOKUP(B24,Engpar!A:A,Engpar!F:F)</f>
        <v>KALIMANTAN TENGAH</v>
      </c>
      <c r="E24" t="str">
        <f>_xlfn.XLOOKUP(B24,Engpar!A:A,Engpar!G:G)</f>
        <v>SERUYAN</v>
      </c>
      <c r="F24">
        <f>_xlfn.XLOOKUP(B24,Engpar!A:A,Engpar!J:J)</f>
        <v>-1.3117300000000001</v>
      </c>
      <c r="G24">
        <f>_xlfn.XLOOKUP(B24,Engpar!A:A,Engpar!K:K)</f>
        <v>111.8402</v>
      </c>
      <c r="H24" t="str">
        <f>_xlfn.XLOOKUP(A24,Claim!C:C,Claim!I:I)</f>
        <v>BATERAI</v>
      </c>
      <c r="I24">
        <f>_xlfn.XLOOKUP(A24,Claim!C:C,Claim!J:J)</f>
        <v>1</v>
      </c>
      <c r="J24" t="str">
        <f>_xlfn.XLOOKUP(A24,Claim!C:C,Claim!M:M)</f>
        <v>REQUEST_GARANSI</v>
      </c>
      <c r="K24" t="str">
        <f>_xlfn.XLOOKUP(A24,Claim!C:C,Claim!O:O)</f>
        <v>Approved</v>
      </c>
      <c r="L24" t="str">
        <f>_xlfn.XLOOKUP(A24,Claim!C:C,Claim!P:P)</f>
        <v>MSS Pending Form</v>
      </c>
      <c r="M24" t="str">
        <f>_xlfn.XLOOKUP(A24,Claim!C:C,Claim!Q:Q)</f>
        <v>-</v>
      </c>
      <c r="N24" t="str" cm="1">
        <f t="array" ref="N24">_xlfn.IFS(
   OR(L24="Cancel", L24="Canceled", L24="Reject", L24="Rejected"), "Cancel / Rejected",
   AND(OR(J24="Request_Garansi", J24="Perbaikan_Asset"), OR(L24="Approved", L24="PMO Pending")), "MSS Need Send",
   TRUE, "Waiting Approval"
)</f>
        <v>Waiting Approval</v>
      </c>
      <c r="O24" t="str" cm="1">
        <f t="array" ref="O24">_xlfn.IFS(
   OR(M24="Cancel", M24="Canceled", M24="Reject", M24="Rejected", K24="Cancel", K24="Canceled", K24="Reject", K24="Rejected", L24="Cancel", L24="Canceled", L24="Reject", L24="Rejected"), "Cancel / Rejected",
   AND(OR(J24="Perbaikan_Asset"), OR(M24="KSO Pending")), "KSO Need Send",
   TRUE, "Waiting Approval"
)</f>
        <v>Waiting Approval</v>
      </c>
      <c r="Q24" t="str" cm="1">
        <f t="array" ref="Q24">_xlfn.IFS(
   OR(M24="Cancel", M24="Canceled", M24="Reject", M24="Rejected", K24="Cancel", K24="Canceled", K24="Reject", K24="Rejected", L24="Cancel", L24="Canceled", L24="Reject", L24="Rejected"), "Cancel / Rejected",
   P24&lt;&gt;"", "MSS Done Send",
   N24="MSS Need Send", "MSS Need Send",
   TRUE, "Waiting Approval"
)</f>
        <v>Waiting Approval</v>
      </c>
      <c r="S24" t="str" cm="1">
        <f t="array" ref="S24">_xlfn.IFS(
   OR(M24="Cancel", M24="Canceled", M24="Reject", M24="Rejected", K24="Cancel", K24="Canceled", K24="Reject", K24="Rejected", L24="Cancel", L24="Canceled", L24="Reject", L24="Rejected"), "Cancel / Rejected",
   R24&lt;&gt;"", "KSO Done Send",
   Q24="MSS Need Send", "MSS Need Send",
   O24="KSO Need Send", "KSO Need Send",
   TRUE, "Waiting Approval"
)</f>
        <v>Waiting Approval</v>
      </c>
    </row>
    <row r="25" spans="1:19" x14ac:dyDescent="0.25">
      <c r="A25" s="1" t="s">
        <v>237</v>
      </c>
      <c r="B25" s="1" t="s">
        <v>230</v>
      </c>
      <c r="C25" t="str">
        <f>_xlfn.XLOOKUP(B25,Engpar!A:A,Engpar!C:C)</f>
        <v>SUNGAI BUGAU</v>
      </c>
      <c r="D25" t="str">
        <f>_xlfn.XLOOKUP(B25,Engpar!A:A,Engpar!F:F)</f>
        <v>KALIMANTAN BARAT</v>
      </c>
      <c r="E25" t="str">
        <f>_xlfn.XLOOKUP(B25,Engpar!A:A,Engpar!G:G)</f>
        <v>SINTANG</v>
      </c>
      <c r="F25">
        <f>_xlfn.XLOOKUP(B25,Engpar!A:A,Engpar!J:J)</f>
        <v>0.89337999999999995</v>
      </c>
      <c r="G25">
        <f>_xlfn.XLOOKUP(B25,Engpar!A:A,Engpar!K:K)</f>
        <v>111.14558</v>
      </c>
      <c r="H25" t="str">
        <f>_xlfn.XLOOKUP(A25,Claim!C:C,Claim!I:I)</f>
        <v>SITE NAME PLATE</v>
      </c>
      <c r="I25">
        <f>_xlfn.XLOOKUP(A25,Claim!C:C,Claim!J:J)</f>
        <v>1</v>
      </c>
      <c r="J25" t="str">
        <f>_xlfn.XLOOKUP(A25,Claim!C:C,Claim!M:M)</f>
        <v>PRE_APPROVAL</v>
      </c>
      <c r="K25" t="str">
        <f>_xlfn.XLOOKUP(A25,Claim!C:C,Claim!O:O)</f>
        <v>KSO Pending</v>
      </c>
      <c r="L25" t="str">
        <f>_xlfn.XLOOKUP(A25,Claim!C:C,Claim!P:P)</f>
        <v>-</v>
      </c>
      <c r="M25" t="str">
        <f>_xlfn.XLOOKUP(A25,Claim!C:C,Claim!Q:Q)</f>
        <v>-</v>
      </c>
      <c r="N25" t="str" cm="1">
        <f t="array" ref="N25">_xlfn.IFS(
   OR(L25="Cancel", L25="Canceled", L25="Reject", L25="Rejected"), "Cancel / Rejected",
   AND(OR(J25="Request_Garansi", J25="Perbaikan_Asset"), OR(L25="Approved", L25="PMO Pending")), "MSS Need Send",
   TRUE, "Waiting Approval"
)</f>
        <v>Waiting Approval</v>
      </c>
      <c r="O25" t="str" cm="1">
        <f t="array" ref="O25">_xlfn.IFS(
   OR(M25="Cancel", M25="Canceled", M25="Reject", M25="Rejected", K25="Cancel", K25="Canceled", K25="Reject", K25="Rejected", L25="Cancel", L25="Canceled", L25="Reject", L25="Rejected"), "Cancel / Rejected",
   AND(OR(J25="Perbaikan_Asset"), OR(M25="KSO Pending")), "KSO Need Send",
   TRUE, "Waiting Approval"
)</f>
        <v>Waiting Approval</v>
      </c>
      <c r="Q25" t="str" cm="1">
        <f t="array" ref="Q25">_xlfn.IFS(
   OR(M25="Cancel", M25="Canceled", M25="Reject", M25="Rejected", K25="Cancel", K25="Canceled", K25="Reject", K25="Rejected", L25="Cancel", L25="Canceled", L25="Reject", L25="Rejected"), "Cancel / Rejected",
   P25&lt;&gt;"", "MSS Done Send",
   N25="MSS Need Send", "MSS Need Send",
   TRUE, "Waiting Approval"
)</f>
        <v>Waiting Approval</v>
      </c>
      <c r="S25" t="str" cm="1">
        <f t="array" ref="S25">_xlfn.IFS(
   OR(M25="Cancel", M25="Canceled", M25="Reject", M25="Rejected", K25="Cancel", K25="Canceled", K25="Reject", K25="Rejected", L25="Cancel", L25="Canceled", L25="Reject", L25="Rejected"), "Cancel / Rejected",
   R25&lt;&gt;"", "KSO Done Send",
   Q25="MSS Need Send", "MSS Need Send",
   O25="KSO Need Send", "KSO Need Send",
   TRUE, "Waiting Approval"
)</f>
        <v>Waiting Approval</v>
      </c>
    </row>
    <row r="26" spans="1:19" x14ac:dyDescent="0.25">
      <c r="A26" s="1" t="s">
        <v>240</v>
      </c>
      <c r="B26" s="1" t="s">
        <v>224</v>
      </c>
      <c r="C26" t="str">
        <f>_xlfn.XLOOKUP(B26,Engpar!A:A,Engpar!C:C)</f>
        <v>PEREMBANG NYURUH</v>
      </c>
      <c r="D26" t="str">
        <f>_xlfn.XLOOKUP(B26,Engpar!A:A,Engpar!F:F)</f>
        <v>KALIMANTAN BARAT</v>
      </c>
      <c r="E26" t="str">
        <f>_xlfn.XLOOKUP(B26,Engpar!A:A,Engpar!G:G)</f>
        <v>MELAWI</v>
      </c>
      <c r="F26">
        <f>_xlfn.XLOOKUP(B26,Engpar!A:A,Engpar!J:J)</f>
        <v>-0.55344000000000004</v>
      </c>
      <c r="G26">
        <f>_xlfn.XLOOKUP(B26,Engpar!A:A,Engpar!K:K)</f>
        <v>112.11271000000001</v>
      </c>
      <c r="H26" t="str">
        <f>_xlfn.XLOOKUP(A26,Claim!C:C,Claim!I:I)</f>
        <v>SITE NAME PLATE</v>
      </c>
      <c r="I26">
        <f>_xlfn.XLOOKUP(A26,Claim!C:C,Claim!J:J)</f>
        <v>1</v>
      </c>
      <c r="J26" t="str">
        <f>_xlfn.XLOOKUP(A26,Claim!C:C,Claim!M:M)</f>
        <v>PRE_APPROVAL</v>
      </c>
      <c r="K26" t="str">
        <f>_xlfn.XLOOKUP(A26,Claim!C:C,Claim!O:O)</f>
        <v>KSO Pending</v>
      </c>
      <c r="L26" t="str">
        <f>_xlfn.XLOOKUP(A26,Claim!C:C,Claim!P:P)</f>
        <v>-</v>
      </c>
      <c r="M26" t="str">
        <f>_xlfn.XLOOKUP(A26,Claim!C:C,Claim!Q:Q)</f>
        <v>-</v>
      </c>
      <c r="N26" t="str" cm="1">
        <f t="array" ref="N26">_xlfn.IFS(
   OR(L26="Cancel", L26="Canceled", L26="Reject", L26="Rejected"), "Cancel / Rejected",
   AND(OR(J26="Request_Garansi", J26="Perbaikan_Asset"), OR(L26="Approved", L26="PMO Pending")), "MSS Need Send",
   TRUE, "Waiting Approval"
)</f>
        <v>Waiting Approval</v>
      </c>
      <c r="O26" t="str" cm="1">
        <f t="array" ref="O26">_xlfn.IFS(
   OR(M26="Cancel", M26="Canceled", M26="Reject", M26="Rejected", K26="Cancel", K26="Canceled", K26="Reject", K26="Rejected", L26="Cancel", L26="Canceled", L26="Reject", L26="Rejected"), "Cancel / Rejected",
   AND(OR(J26="Perbaikan_Asset"), OR(M26="KSO Pending")), "KSO Need Send",
   TRUE, "Waiting Approval"
)</f>
        <v>Waiting Approval</v>
      </c>
      <c r="Q26" t="str" cm="1">
        <f t="array" ref="Q26">_xlfn.IFS(
   OR(M26="Cancel", M26="Canceled", M26="Reject", M26="Rejected", K26="Cancel", K26="Canceled", K26="Reject", K26="Rejected", L26="Cancel", L26="Canceled", L26="Reject", L26="Rejected"), "Cancel / Rejected",
   P26&lt;&gt;"", "MSS Done Send",
   N26="MSS Need Send", "MSS Need Send",
   TRUE, "Waiting Approval"
)</f>
        <v>Waiting Approval</v>
      </c>
      <c r="S26" t="str" cm="1">
        <f t="array" ref="S26">_xlfn.IFS(
   OR(M26="Cancel", M26="Canceled", M26="Reject", M26="Rejected", K26="Cancel", K26="Canceled", K26="Reject", K26="Rejected", L26="Cancel", L26="Canceled", L26="Reject", L26="Rejected"), "Cancel / Rejected",
   R26&lt;&gt;"", "KSO Done Send",
   Q26="MSS Need Send", "MSS Need Send",
   O26="KSO Need Send", "KSO Need Send",
   TRUE, "Waiting Approval"
)</f>
        <v>Waiting Approval</v>
      </c>
    </row>
    <row r="27" spans="1:19" x14ac:dyDescent="0.25">
      <c r="A27" s="1" t="s">
        <v>242</v>
      </c>
      <c r="B27" s="1" t="s">
        <v>228</v>
      </c>
      <c r="C27" t="str">
        <f>_xlfn.XLOOKUP(B27,Engpar!A:A,Engpar!C:C)</f>
        <v>NYANGAU</v>
      </c>
      <c r="D27" t="str">
        <f>_xlfn.XLOOKUP(B27,Engpar!A:A,Engpar!F:F)</f>
        <v>KALIMANTAN BARAT</v>
      </c>
      <c r="E27" t="str">
        <f>_xlfn.XLOOKUP(B27,Engpar!A:A,Engpar!G:G)</f>
        <v>MELAWI</v>
      </c>
      <c r="F27">
        <f>_xlfn.XLOOKUP(B27,Engpar!A:A,Engpar!J:J)</f>
        <v>-0.48385</v>
      </c>
      <c r="G27">
        <f>_xlfn.XLOOKUP(B27,Engpar!A:A,Engpar!K:K)</f>
        <v>112.12088</v>
      </c>
      <c r="H27" t="str">
        <f>_xlfn.XLOOKUP(A27,Claim!C:C,Claim!I:I)</f>
        <v>SITE NAME PLATE</v>
      </c>
      <c r="I27">
        <f>_xlfn.XLOOKUP(A27,Claim!C:C,Claim!J:J)</f>
        <v>1</v>
      </c>
      <c r="J27" t="str">
        <f>_xlfn.XLOOKUP(A27,Claim!C:C,Claim!M:M)</f>
        <v>PRE_APPROVAL</v>
      </c>
      <c r="K27" t="str">
        <f>_xlfn.XLOOKUP(A27,Claim!C:C,Claim!O:O)</f>
        <v>KSO Pending</v>
      </c>
      <c r="L27" t="str">
        <f>_xlfn.XLOOKUP(A27,Claim!C:C,Claim!P:P)</f>
        <v>-</v>
      </c>
      <c r="M27" t="str">
        <f>_xlfn.XLOOKUP(A27,Claim!C:C,Claim!Q:Q)</f>
        <v>-</v>
      </c>
      <c r="N27" t="str" cm="1">
        <f t="array" ref="N27">_xlfn.IFS(
   OR(L27="Cancel", L27="Canceled", L27="Reject", L27="Rejected"), "Cancel / Rejected",
   AND(OR(J27="Request_Garansi", J27="Perbaikan_Asset"), OR(L27="Approved", L27="PMO Pending")), "MSS Need Send",
   TRUE, "Waiting Approval"
)</f>
        <v>Waiting Approval</v>
      </c>
      <c r="O27" t="str" cm="1">
        <f t="array" ref="O27">_xlfn.IFS(
   OR(M27="Cancel", M27="Canceled", M27="Reject", M27="Rejected", K27="Cancel", K27="Canceled", K27="Reject", K27="Rejected", L27="Cancel", L27="Canceled", L27="Reject", L27="Rejected"), "Cancel / Rejected",
   AND(OR(J27="Perbaikan_Asset"), OR(M27="KSO Pending")), "KSO Need Send",
   TRUE, "Waiting Approval"
)</f>
        <v>Waiting Approval</v>
      </c>
      <c r="Q27" t="str" cm="1">
        <f t="array" ref="Q27">_xlfn.IFS(
   OR(M27="Cancel", M27="Canceled", M27="Reject", M27="Rejected", K27="Cancel", K27="Canceled", K27="Reject", K27="Rejected", L27="Cancel", L27="Canceled", L27="Reject", L27="Rejected"), "Cancel / Rejected",
   P27&lt;&gt;"", "MSS Done Send",
   N27="MSS Need Send", "MSS Need Send",
   TRUE, "Waiting Approval"
)</f>
        <v>Waiting Approval</v>
      </c>
      <c r="S27" t="str" cm="1">
        <f t="array" ref="S27">_xlfn.IFS(
   OR(M27="Cancel", M27="Canceled", M27="Reject", M27="Rejected", K27="Cancel", K27="Canceled", K27="Reject", K27="Rejected", L27="Cancel", L27="Canceled", L27="Reject", L27="Rejected"), "Cancel / Rejected",
   R27&lt;&gt;"", "KSO Done Send",
   Q27="MSS Need Send", "MSS Need Send",
   O27="KSO Need Send", "KSO Need Send",
   TRUE, "Waiting Approval"
)</f>
        <v>Waiting Approval</v>
      </c>
    </row>
    <row r="28" spans="1:19" x14ac:dyDescent="0.25">
      <c r="A28" s="1" t="s">
        <v>244</v>
      </c>
      <c r="B28" s="1" t="s">
        <v>231</v>
      </c>
      <c r="C28" t="str">
        <f>_xlfn.XLOOKUP(B28,Engpar!A:A,Engpar!C:C)</f>
        <v>TANJUNG TUKAL</v>
      </c>
      <c r="D28" t="str">
        <f>_xlfn.XLOOKUP(B28,Engpar!A:A,Engpar!F:F)</f>
        <v>KALIMANTAN TENGAH</v>
      </c>
      <c r="E28" t="str">
        <f>_xlfn.XLOOKUP(B28,Engpar!A:A,Engpar!G:G)</f>
        <v>SERUYAN</v>
      </c>
      <c r="F28">
        <f>_xlfn.XLOOKUP(B28,Engpar!A:A,Engpar!J:J)</f>
        <v>-1.30959</v>
      </c>
      <c r="G28">
        <f>_xlfn.XLOOKUP(B28,Engpar!A:A,Engpar!K:K)</f>
        <v>111.76399000000001</v>
      </c>
      <c r="H28" t="str">
        <f>_xlfn.XLOOKUP(A28,Claim!C:C,Claim!I:I)</f>
        <v>YARD LAMP</v>
      </c>
      <c r="I28">
        <f>_xlfn.XLOOKUP(A28,Claim!C:C,Claim!J:J)</f>
        <v>1</v>
      </c>
      <c r="J28" t="str">
        <f>_xlfn.XLOOKUP(A28,Claim!C:C,Claim!M:M)</f>
        <v>REQUEST_GARANSI</v>
      </c>
      <c r="K28" t="str">
        <f>_xlfn.XLOOKUP(A28,Claim!C:C,Claim!O:O)</f>
        <v>Approved</v>
      </c>
      <c r="L28" t="str">
        <f>_xlfn.XLOOKUP(A28,Claim!C:C,Claim!P:P)</f>
        <v>MSS Pending Form</v>
      </c>
      <c r="M28" t="str">
        <f>_xlfn.XLOOKUP(A28,Claim!C:C,Claim!Q:Q)</f>
        <v>-</v>
      </c>
      <c r="N28" t="str" cm="1">
        <f t="array" ref="N28">_xlfn.IFS(
   OR(L28="Cancel", L28="Canceled", L28="Reject", L28="Rejected"), "Cancel / Rejected",
   AND(OR(J28="Request_Garansi", J28="Perbaikan_Asset"), OR(L28="Approved", L28="PMO Pending")), "MSS Need Send",
   TRUE, "Waiting Approval"
)</f>
        <v>Waiting Approval</v>
      </c>
      <c r="O28" t="str" cm="1">
        <f t="array" ref="O28">_xlfn.IFS(
   OR(M28="Cancel", M28="Canceled", M28="Reject", M28="Rejected", K28="Cancel", K28="Canceled", K28="Reject", K28="Rejected", L28="Cancel", L28="Canceled", L28="Reject", L28="Rejected"), "Cancel / Rejected",
   AND(OR(J28="Perbaikan_Asset"), OR(M28="KSO Pending")), "KSO Need Send",
   TRUE, "Waiting Approval"
)</f>
        <v>Waiting Approval</v>
      </c>
      <c r="Q28" t="str" cm="1">
        <f t="array" ref="Q28">_xlfn.IFS(
   OR(M28="Cancel", M28="Canceled", M28="Reject", M28="Rejected", K28="Cancel", K28="Canceled", K28="Reject", K28="Rejected", L28="Cancel", L28="Canceled", L28="Reject", L28="Rejected"), "Cancel / Rejected",
   P28&lt;&gt;"", "MSS Done Send",
   N28="MSS Need Send", "MSS Need Send",
   TRUE, "Waiting Approval"
)</f>
        <v>Waiting Approval</v>
      </c>
      <c r="S28" t="str" cm="1">
        <f t="array" ref="S28">_xlfn.IFS(
   OR(M28="Cancel", M28="Canceled", M28="Reject", M28="Rejected", K28="Cancel", K28="Canceled", K28="Reject", K28="Rejected", L28="Cancel", L28="Canceled", L28="Reject", L28="Rejected"), "Cancel / Rejected",
   R28&lt;&gt;"", "KSO Done Send",
   Q28="MSS Need Send", "MSS Need Send",
   O28="KSO Need Send", "KSO Need Send",
   TRUE, "Waiting Approval"
)</f>
        <v>Waiting Approval</v>
      </c>
    </row>
    <row r="29" spans="1:19" x14ac:dyDescent="0.25">
      <c r="A29" s="1" t="s">
        <v>246</v>
      </c>
      <c r="B29" s="1" t="s">
        <v>64</v>
      </c>
      <c r="C29" t="str">
        <f>_xlfn.XLOOKUP(B29,Engpar!A:A,Engpar!C:C)</f>
        <v>SEI NANJAN</v>
      </c>
      <c r="D29" t="str">
        <f>_xlfn.XLOOKUP(B29,Engpar!A:A,Engpar!F:F)</f>
        <v>KALIMANTAN TENGAH</v>
      </c>
      <c r="E29" t="str">
        <f>_xlfn.XLOOKUP(B29,Engpar!A:A,Engpar!G:G)</f>
        <v>KATINGAN</v>
      </c>
      <c r="F29">
        <f>_xlfn.XLOOKUP(B29,Engpar!A:A,Engpar!J:J)</f>
        <v>-1.0990500000000001</v>
      </c>
      <c r="G29">
        <f>_xlfn.XLOOKUP(B29,Engpar!A:A,Engpar!K:K)</f>
        <v>112.41753</v>
      </c>
      <c r="H29" t="str">
        <f>_xlfn.XLOOKUP(A29,Claim!C:C,Claim!I:I)</f>
        <v>BATERAI</v>
      </c>
      <c r="I29">
        <f>_xlfn.XLOOKUP(A29,Claim!C:C,Claim!J:J)</f>
        <v>1</v>
      </c>
      <c r="J29" t="str">
        <f>_xlfn.XLOOKUP(A29,Claim!C:C,Claim!M:M)</f>
        <v>PRE_APPROVAL</v>
      </c>
      <c r="K29" t="str">
        <f>_xlfn.XLOOKUP(A29,Claim!C:C,Claim!O:O)</f>
        <v>Rejected</v>
      </c>
      <c r="L29" t="str">
        <f>_xlfn.XLOOKUP(A29,Claim!C:C,Claim!P:P)</f>
        <v>-</v>
      </c>
      <c r="M29" t="str">
        <f>_xlfn.XLOOKUP(A29,Claim!C:C,Claim!Q:Q)</f>
        <v>-</v>
      </c>
      <c r="N29" t="str" cm="1">
        <f t="array" ref="N29">_xlfn.IFS(
   OR(L29="Cancel", L29="Canceled", L29="Reject", L29="Rejected"), "Cancel / Rejected",
   AND(OR(J29="Request_Garansi", J29="Perbaikan_Asset"), OR(L29="Approved", L29="PMO Pending")), "MSS Need Send",
   TRUE, "Waiting Approval"
)</f>
        <v>Waiting Approval</v>
      </c>
      <c r="O29" t="str" cm="1">
        <f t="array" ref="O29">_xlfn.IFS(
   OR(M29="Cancel", M29="Canceled", M29="Reject", M29="Rejected", K29="Cancel", K29="Canceled", K29="Reject", K29="Rejected", L29="Cancel", L29="Canceled", L29="Reject", L29="Rejected"), "Cancel / Rejected",
   AND(OR(J29="Perbaikan_Asset"), OR(M29="KSO Pending")), "KSO Need Send",
   TRUE, "Waiting Approval"
)</f>
        <v>Cancel / Rejected</v>
      </c>
      <c r="Q29" t="str" cm="1">
        <f t="array" ref="Q29">_xlfn.IFS(
   OR(M29="Cancel", M29="Canceled", M29="Reject", M29="Rejected", K29="Cancel", K29="Canceled", K29="Reject", K29="Rejected", L29="Cancel", L29="Canceled", L29="Reject", L29="Rejected"), "Cancel / Rejected",
   P29&lt;&gt;"", "MSS Done Send",
   N29="MSS Need Send", "MSS Need Send",
   TRUE, "Waiting Approval"
)</f>
        <v>Cancel / Rejected</v>
      </c>
      <c r="S29" t="str" cm="1">
        <f t="array" ref="S29">_xlfn.IFS(
   OR(M29="Cancel", M29="Canceled", M29="Reject", M29="Rejected", K29="Cancel", K29="Canceled", K29="Reject", K29="Rejected", L29="Cancel", L29="Canceled", L29="Reject", L29="Rejected"), "Cancel / Rejected",
   R29&lt;&gt;"", "KSO Done Send",
   Q29="MSS Need Send", "MSS Need Send",
   O29="KSO Need Send", "KSO Need Send",
   TRUE, "Waiting Approval"
)</f>
        <v>Cancel / Rejected</v>
      </c>
    </row>
    <row r="30" spans="1:19" x14ac:dyDescent="0.25">
      <c r="A30" s="1" t="s">
        <v>249</v>
      </c>
      <c r="B30" s="1" t="s">
        <v>61</v>
      </c>
      <c r="C30" t="str">
        <f>_xlfn.XLOOKUP(B30,Engpar!A:A,Engpar!C:C)</f>
        <v>TUMBANG MANGARA</v>
      </c>
      <c r="D30" t="str">
        <f>_xlfn.XLOOKUP(B30,Engpar!A:A,Engpar!F:F)</f>
        <v>KALIMANTAN TENGAH</v>
      </c>
      <c r="E30" t="str">
        <f>_xlfn.XLOOKUP(B30,Engpar!A:A,Engpar!G:G)</f>
        <v>KATINGAN</v>
      </c>
      <c r="F30">
        <f>_xlfn.XLOOKUP(B30,Engpar!A:A,Engpar!J:J)</f>
        <v>-1.0913999999999999</v>
      </c>
      <c r="G30">
        <f>_xlfn.XLOOKUP(B30,Engpar!A:A,Engpar!K:K)</f>
        <v>113.22205</v>
      </c>
      <c r="H30" t="str">
        <f>_xlfn.XLOOKUP(A30,Claim!C:C,Claim!I:I)</f>
        <v>BATERAI</v>
      </c>
      <c r="I30">
        <f>_xlfn.XLOOKUP(A30,Claim!C:C,Claim!J:J)</f>
        <v>3</v>
      </c>
      <c r="J30" t="str">
        <f>_xlfn.XLOOKUP(A30,Claim!C:C,Claim!M:M)</f>
        <v>PRE_APPROVAL</v>
      </c>
      <c r="K30" t="str">
        <f>_xlfn.XLOOKUP(A30,Claim!C:C,Claim!O:O)</f>
        <v>Rejected</v>
      </c>
      <c r="L30" t="str">
        <f>_xlfn.XLOOKUP(A30,Claim!C:C,Claim!P:P)</f>
        <v>-</v>
      </c>
      <c r="M30" t="str">
        <f>_xlfn.XLOOKUP(A30,Claim!C:C,Claim!Q:Q)</f>
        <v>-</v>
      </c>
      <c r="N30" t="str" cm="1">
        <f t="array" ref="N30">_xlfn.IFS(
   OR(L30="Cancel", L30="Canceled", L30="Reject", L30="Rejected"), "Cancel / Rejected",
   AND(OR(J30="Request_Garansi", J30="Perbaikan_Asset"), OR(L30="Approved", L30="PMO Pending")), "MSS Need Send",
   TRUE, "Waiting Approval"
)</f>
        <v>Waiting Approval</v>
      </c>
      <c r="O30" t="str" cm="1">
        <f t="array" ref="O30">_xlfn.IFS(
   OR(M30="Cancel", M30="Canceled", M30="Reject", M30="Rejected", K30="Cancel", K30="Canceled", K30="Reject", K30="Rejected", L30="Cancel", L30="Canceled", L30="Reject", L30="Rejected"), "Cancel / Rejected",
   AND(OR(J30="Perbaikan_Asset"), OR(M30="KSO Pending")), "KSO Need Send",
   TRUE, "Waiting Approval"
)</f>
        <v>Cancel / Rejected</v>
      </c>
      <c r="Q30" t="str" cm="1">
        <f t="array" ref="Q30">_xlfn.IFS(
   OR(M30="Cancel", M30="Canceled", M30="Reject", M30="Rejected", K30="Cancel", K30="Canceled", K30="Reject", K30="Rejected", L30="Cancel", L30="Canceled", L30="Reject", L30="Rejected"), "Cancel / Rejected",
   P30&lt;&gt;"", "MSS Done Send",
   N30="MSS Need Send", "MSS Need Send",
   TRUE, "Waiting Approval"
)</f>
        <v>Cancel / Rejected</v>
      </c>
      <c r="S30" t="str" cm="1">
        <f t="array" ref="S30">_xlfn.IFS(
   OR(M30="Cancel", M30="Canceled", M30="Reject", M30="Rejected", K30="Cancel", K30="Canceled", K30="Reject", K30="Rejected", L30="Cancel", L30="Canceled", L30="Reject", L30="Rejected"), "Cancel / Rejected",
   R30&lt;&gt;"", "KSO Done Send",
   Q30="MSS Need Send", "MSS Need Send",
   O30="KSO Need Send", "KSO Need Send",
   TRUE, "Waiting Approval"
)</f>
        <v>Cancel / Rejected</v>
      </c>
    </row>
    <row r="31" spans="1:19" x14ac:dyDescent="0.25">
      <c r="A31" s="1" t="s">
        <v>252</v>
      </c>
      <c r="B31" s="1" t="s">
        <v>229</v>
      </c>
      <c r="C31" t="str">
        <f>_xlfn.XLOOKUP(B31,Engpar!A:A,Engpar!C:C)</f>
        <v>LONG GELAWANG II</v>
      </c>
      <c r="D31" t="str">
        <f>_xlfn.XLOOKUP(B31,Engpar!A:A,Engpar!F:F)</f>
        <v>KALIMANTAN TIMUR</v>
      </c>
      <c r="E31" t="str">
        <f>_xlfn.XLOOKUP(B31,Engpar!A:A,Engpar!G:G)</f>
        <v>MAHAKAM ULU</v>
      </c>
      <c r="F31">
        <f>_xlfn.XLOOKUP(B31,Engpar!A:A,Engpar!J:J)</f>
        <v>0.28843000000000002</v>
      </c>
      <c r="G31">
        <f>_xlfn.XLOOKUP(B31,Engpar!A:A,Engpar!K:K)</f>
        <v>115.37851999999999</v>
      </c>
      <c r="H31" t="str">
        <f>_xlfn.XLOOKUP(A31,Claim!C:C,Claim!I:I)</f>
        <v>YARD LAMP</v>
      </c>
      <c r="I31">
        <f>_xlfn.XLOOKUP(A31,Claim!C:C,Claim!J:J)</f>
        <v>1</v>
      </c>
      <c r="J31" t="str">
        <f>_xlfn.XLOOKUP(A31,Claim!C:C,Claim!M:M)</f>
        <v>REQUEST_GARANSI</v>
      </c>
      <c r="K31" t="str">
        <f>_xlfn.XLOOKUP(A31,Claim!C:C,Claim!O:O)</f>
        <v>Approved</v>
      </c>
      <c r="L31" t="str">
        <f>_xlfn.XLOOKUP(A31,Claim!C:C,Claim!P:P)</f>
        <v>MSS Pending Form</v>
      </c>
      <c r="M31" t="str">
        <f>_xlfn.XLOOKUP(A31,Claim!C:C,Claim!Q:Q)</f>
        <v>-</v>
      </c>
      <c r="N31" t="str" cm="1">
        <f t="array" ref="N31">_xlfn.IFS(
   OR(L31="Cancel", L31="Canceled", L31="Reject", L31="Rejected"), "Cancel / Rejected",
   AND(OR(J31="Request_Garansi", J31="Perbaikan_Asset"), OR(L31="Approved", L31="PMO Pending")), "MSS Need Send",
   TRUE, "Waiting Approval"
)</f>
        <v>Waiting Approval</v>
      </c>
      <c r="O31" t="str" cm="1">
        <f t="array" ref="O31">_xlfn.IFS(
   OR(M31="Cancel", M31="Canceled", M31="Reject", M31="Rejected", K31="Cancel", K31="Canceled", K31="Reject", K31="Rejected", L31="Cancel", L31="Canceled", L31="Reject", L31="Rejected"), "Cancel / Rejected",
   AND(OR(J31="Perbaikan_Asset"), OR(M31="KSO Pending")), "KSO Need Send",
   TRUE, "Waiting Approval"
)</f>
        <v>Waiting Approval</v>
      </c>
      <c r="Q31" t="str" cm="1">
        <f t="array" ref="Q31">_xlfn.IFS(
   OR(M31="Cancel", M31="Canceled", M31="Reject", M31="Rejected", K31="Cancel", K31="Canceled", K31="Reject", K31="Rejected", L31="Cancel", L31="Canceled", L31="Reject", L31="Rejected"), "Cancel / Rejected",
   P31&lt;&gt;"", "MSS Done Send",
   N31="MSS Need Send", "MSS Need Send",
   TRUE, "Waiting Approval"
)</f>
        <v>Waiting Approval</v>
      </c>
      <c r="S31" t="str" cm="1">
        <f t="array" ref="S31">_xlfn.IFS(
   OR(M31="Cancel", M31="Canceled", M31="Reject", M31="Rejected", K31="Cancel", K31="Canceled", K31="Reject", K31="Rejected", L31="Cancel", L31="Canceled", L31="Reject", L31="Rejected"), "Cancel / Rejected",
   R31&lt;&gt;"", "KSO Done Send",
   Q31="MSS Need Send", "MSS Need Send",
   O31="KSO Need Send", "KSO Need Send",
   TRUE, "Waiting Approval"
)</f>
        <v>Waiting Approval</v>
      </c>
    </row>
    <row r="32" spans="1:19" x14ac:dyDescent="0.25">
      <c r="A32" s="1" t="s">
        <v>254</v>
      </c>
      <c r="B32" s="1" t="s">
        <v>226</v>
      </c>
      <c r="C32" t="str">
        <f>_xlfn.XLOOKUP(B32,Engpar!A:A,Engpar!C:C)</f>
        <v>TUMBANG TAWAN</v>
      </c>
      <c r="D32" t="str">
        <f>_xlfn.XLOOKUP(B32,Engpar!A:A,Engpar!F:F)</f>
        <v>KALIMANTAN TENGAH</v>
      </c>
      <c r="E32" t="str">
        <f>_xlfn.XLOOKUP(B32,Engpar!A:A,Engpar!G:G)</f>
        <v>KOTAWARINGIN TIMUR</v>
      </c>
      <c r="F32">
        <f>_xlfn.XLOOKUP(B32,Engpar!A:A,Engpar!J:J)</f>
        <v>-1.63002</v>
      </c>
      <c r="G32">
        <f>_xlfn.XLOOKUP(B32,Engpar!A:A,Engpar!K:K)</f>
        <v>112.27889999999999</v>
      </c>
      <c r="H32" t="str">
        <f>_xlfn.XLOOKUP(A32,Claim!C:C,Claim!I:I)</f>
        <v>INVERTER 300 W</v>
      </c>
      <c r="I32">
        <f>_xlfn.XLOOKUP(A32,Claim!C:C,Claim!J:J)</f>
        <v>1</v>
      </c>
      <c r="J32" t="str">
        <f>_xlfn.XLOOKUP(A32,Claim!C:C,Claim!M:M)</f>
        <v>PRE_APPROVAL</v>
      </c>
      <c r="K32" t="str">
        <f>_xlfn.XLOOKUP(A32,Claim!C:C,Claim!O:O)</f>
        <v>KSO Pending</v>
      </c>
      <c r="L32" t="str">
        <f>_xlfn.XLOOKUP(A32,Claim!C:C,Claim!P:P)</f>
        <v>-</v>
      </c>
      <c r="M32" t="str">
        <f>_xlfn.XLOOKUP(A32,Claim!C:C,Claim!Q:Q)</f>
        <v>-</v>
      </c>
      <c r="N32" t="str" cm="1">
        <f t="array" ref="N32">_xlfn.IFS(
   OR(L32="Cancel", L32="Canceled", L32="Reject", L32="Rejected"), "Cancel / Rejected",
   AND(OR(J32="Request_Garansi", J32="Perbaikan_Asset"), OR(L32="Approved", L32="PMO Pending")), "MSS Need Send",
   TRUE, "Waiting Approval"
)</f>
        <v>Waiting Approval</v>
      </c>
      <c r="O32" t="str" cm="1">
        <f t="array" ref="O32">_xlfn.IFS(
   OR(M32="Cancel", M32="Canceled", M32="Reject", M32="Rejected", K32="Cancel", K32="Canceled", K32="Reject", K32="Rejected", L32="Cancel", L32="Canceled", L32="Reject", L32="Rejected"), "Cancel / Rejected",
   AND(OR(J32="Perbaikan_Asset"), OR(M32="KSO Pending")), "KSO Need Send",
   TRUE, "Waiting Approval"
)</f>
        <v>Waiting Approval</v>
      </c>
      <c r="Q32" t="str" cm="1">
        <f t="array" ref="Q32">_xlfn.IFS(
   OR(M32="Cancel", M32="Canceled", M32="Reject", M32="Rejected", K32="Cancel", K32="Canceled", K32="Reject", K32="Rejected", L32="Cancel", L32="Canceled", L32="Reject", L32="Rejected"), "Cancel / Rejected",
   P32&lt;&gt;"", "MSS Done Send",
   N32="MSS Need Send", "MSS Need Send",
   TRUE, "Waiting Approval"
)</f>
        <v>Waiting Approval</v>
      </c>
      <c r="S32" t="str" cm="1">
        <f t="array" ref="S32">_xlfn.IFS(
   OR(M32="Cancel", M32="Canceled", M32="Reject", M32="Rejected", K32="Cancel", K32="Canceled", K32="Reject", K32="Rejected", L32="Cancel", L32="Canceled", L32="Reject", L32="Rejected"), "Cancel / Rejected",
   R32&lt;&gt;"", "KSO Done Send",
   Q32="MSS Need Send", "MSS Need Send",
   O32="KSO Need Send", "KSO Need Send",
   TRUE, "Waiting Approval"
)</f>
        <v>Waiting Approval</v>
      </c>
    </row>
    <row r="33" spans="1:19" x14ac:dyDescent="0.25">
      <c r="A33" s="1" t="s">
        <v>257</v>
      </c>
      <c r="B33" s="1" t="s">
        <v>225</v>
      </c>
      <c r="C33" t="str">
        <f>_xlfn.XLOOKUP(B33,Engpar!A:A,Engpar!C:C)</f>
        <v>TUMBANG KANIA</v>
      </c>
      <c r="D33" t="str">
        <f>_xlfn.XLOOKUP(B33,Engpar!A:A,Engpar!F:F)</f>
        <v>KALIMANTAN TENGAH</v>
      </c>
      <c r="E33" t="str">
        <f>_xlfn.XLOOKUP(B33,Engpar!A:A,Engpar!G:G)</f>
        <v>KOTAWARINGIN TIMUR</v>
      </c>
      <c r="F33">
        <f>_xlfn.XLOOKUP(B33,Engpar!A:A,Engpar!J:J)</f>
        <v>-1.7905199999999999</v>
      </c>
      <c r="G33">
        <f>_xlfn.XLOOKUP(B33,Engpar!A:A,Engpar!K:K)</f>
        <v>112.27569</v>
      </c>
      <c r="H33" t="str">
        <f>_xlfn.XLOOKUP(A33,Claim!C:C,Claim!I:I)</f>
        <v>INVERTER 300 W</v>
      </c>
      <c r="I33">
        <f>_xlfn.XLOOKUP(A33,Claim!C:C,Claim!J:J)</f>
        <v>1</v>
      </c>
      <c r="J33" t="str">
        <f>_xlfn.XLOOKUP(A33,Claim!C:C,Claim!M:M)</f>
        <v>REQUEST_GARANSI</v>
      </c>
      <c r="K33" t="str">
        <f>_xlfn.XLOOKUP(A33,Claim!C:C,Claim!O:O)</f>
        <v>Approved</v>
      </c>
      <c r="L33" t="str">
        <f>_xlfn.XLOOKUP(A33,Claim!C:C,Claim!P:P)</f>
        <v>MSS Pending Form</v>
      </c>
      <c r="M33" t="str">
        <f>_xlfn.XLOOKUP(A33,Claim!C:C,Claim!Q:Q)</f>
        <v>-</v>
      </c>
      <c r="N33" t="str" cm="1">
        <f t="array" ref="N33">_xlfn.IFS(
   OR(L33="Cancel", L33="Canceled", L33="Reject", L33="Rejected"), "Cancel / Rejected",
   AND(OR(J33="Request_Garansi", J33="Perbaikan_Asset"), OR(L33="Approved", L33="PMO Pending")), "MSS Need Send",
   TRUE, "Waiting Approval"
)</f>
        <v>Waiting Approval</v>
      </c>
      <c r="O33" t="str" cm="1">
        <f t="array" ref="O33">_xlfn.IFS(
   OR(M33="Cancel", M33="Canceled", M33="Reject", M33="Rejected", K33="Cancel", K33="Canceled", K33="Reject", K33="Rejected", L33="Cancel", L33="Canceled", L33="Reject", L33="Rejected"), "Cancel / Rejected",
   AND(OR(J33="Perbaikan_Asset"), OR(M33="KSO Pending")), "KSO Need Send",
   TRUE, "Waiting Approval"
)</f>
        <v>Waiting Approval</v>
      </c>
      <c r="Q33" t="str" cm="1">
        <f t="array" ref="Q33">_xlfn.IFS(
   OR(M33="Cancel", M33="Canceled", M33="Reject", M33="Rejected", K33="Cancel", K33="Canceled", K33="Reject", K33="Rejected", L33="Cancel", L33="Canceled", L33="Reject", L33="Rejected"), "Cancel / Rejected",
   P33&lt;&gt;"", "MSS Done Send",
   N33="MSS Need Send", "MSS Need Send",
   TRUE, "Waiting Approval"
)</f>
        <v>Waiting Approval</v>
      </c>
      <c r="S33" t="str" cm="1">
        <f t="array" ref="S33">_xlfn.IFS(
   OR(M33="Cancel", M33="Canceled", M33="Reject", M33="Rejected", K33="Cancel", K33="Canceled", K33="Reject", K33="Rejected", L33="Cancel", L33="Canceled", L33="Reject", L33="Rejected"), "Cancel / Rejected",
   R33&lt;&gt;"", "KSO Done Send",
   Q33="MSS Need Send", "MSS Need Send",
   O33="KSO Need Send", "KSO Need Send",
   TRUE, "Waiting Approval"
)</f>
        <v>Waiting Approval</v>
      </c>
    </row>
    <row r="34" spans="1:19" x14ac:dyDescent="0.25">
      <c r="A34" s="1" t="s">
        <v>259</v>
      </c>
      <c r="B34" s="1" t="s">
        <v>212</v>
      </c>
      <c r="C34" t="str">
        <f>_xlfn.XLOOKUP(B34,Engpar!A:A,Engpar!C:C)</f>
        <v>TUMBANG SETOLI</v>
      </c>
      <c r="D34" t="str">
        <f>_xlfn.XLOOKUP(B34,Engpar!A:A,Engpar!F:F)</f>
        <v>KALIMANTAN TENGAH</v>
      </c>
      <c r="E34" t="str">
        <f>_xlfn.XLOOKUP(B34,Engpar!A:A,Engpar!G:G)</f>
        <v>SERUYAN</v>
      </c>
      <c r="F34">
        <f>_xlfn.XLOOKUP(B34,Engpar!A:A,Engpar!J:J)</f>
        <v>-1.2774399999999999</v>
      </c>
      <c r="G34">
        <f>_xlfn.XLOOKUP(B34,Engpar!A:A,Engpar!K:K)</f>
        <v>111.67767000000001</v>
      </c>
      <c r="H34" t="str">
        <f>_xlfn.XLOOKUP(A34,Claim!C:C,Claim!I:I)</f>
        <v>BATERAI</v>
      </c>
      <c r="I34">
        <f>_xlfn.XLOOKUP(A34,Claim!C:C,Claim!J:J)</f>
        <v>1</v>
      </c>
      <c r="J34" t="str">
        <f>_xlfn.XLOOKUP(A34,Claim!C:C,Claim!M:M)</f>
        <v>PRE_APPROVAL</v>
      </c>
      <c r="K34" t="str">
        <f>_xlfn.XLOOKUP(A34,Claim!C:C,Claim!O:O)</f>
        <v>Canceled</v>
      </c>
      <c r="L34" t="str">
        <f>_xlfn.XLOOKUP(A34,Claim!C:C,Claim!P:P)</f>
        <v>-</v>
      </c>
      <c r="M34" t="str">
        <f>_xlfn.XLOOKUP(A34,Claim!C:C,Claim!Q:Q)</f>
        <v>-</v>
      </c>
      <c r="N34" t="str" cm="1">
        <f t="array" ref="N34">_xlfn.IFS(
   OR(L34="Cancel", L34="Canceled", L34="Reject", L34="Rejected"), "Cancel / Rejected",
   AND(OR(J34="Request_Garansi", J34="Perbaikan_Asset"), OR(L34="Approved", L34="PMO Pending")), "MSS Need Send",
   TRUE, "Waiting Approval"
)</f>
        <v>Waiting Approval</v>
      </c>
      <c r="O34" t="str" cm="1">
        <f t="array" ref="O34">_xlfn.IFS(
   OR(M34="Cancel", M34="Canceled", M34="Reject", M34="Rejected", K34="Cancel", K34="Canceled", K34="Reject", K34="Rejected", L34="Cancel", L34="Canceled", L34="Reject", L34="Rejected"), "Cancel / Rejected",
   AND(OR(J34="Perbaikan_Asset"), OR(M34="KSO Pending")), "KSO Need Send",
   TRUE, "Waiting Approval"
)</f>
        <v>Cancel / Rejected</v>
      </c>
      <c r="Q34" t="str" cm="1">
        <f t="array" ref="Q34">_xlfn.IFS(
   OR(M34="Cancel", M34="Canceled", M34="Reject", M34="Rejected", K34="Cancel", K34="Canceled", K34="Reject", K34="Rejected", L34="Cancel", L34="Canceled", L34="Reject", L34="Rejected"), "Cancel / Rejected",
   P34&lt;&gt;"", "MSS Done Send",
   N34="MSS Need Send", "MSS Need Send",
   TRUE, "Waiting Approval"
)</f>
        <v>Cancel / Rejected</v>
      </c>
      <c r="S34" t="str" cm="1">
        <f t="array" ref="S34">_xlfn.IFS(
   OR(M34="Cancel", M34="Canceled", M34="Reject", M34="Rejected", K34="Cancel", K34="Canceled", K34="Reject", K34="Rejected", L34="Cancel", L34="Canceled", L34="Reject", L34="Rejected"), "Cancel / Rejected",
   R34&lt;&gt;"", "KSO Done Send",
   Q34="MSS Need Send", "MSS Need Send",
   O34="KSO Need Send", "KSO Need Send",
   TRUE, "Waiting Approval"
)</f>
        <v>Cancel / Rejected</v>
      </c>
    </row>
    <row r="35" spans="1:19" x14ac:dyDescent="0.25">
      <c r="A35" s="1" t="s">
        <v>265</v>
      </c>
      <c r="B35" s="1" t="s">
        <v>140</v>
      </c>
      <c r="C35" t="str">
        <f>_xlfn.XLOOKUP(B35,Engpar!A:A,Engpar!C:C)</f>
        <v>BUKIT BULUH</v>
      </c>
      <c r="D35" t="str">
        <f>_xlfn.XLOOKUP(B35,Engpar!A:A,Engpar!F:F)</f>
        <v>KALIMANTAN TENGAH</v>
      </c>
      <c r="E35" t="str">
        <f>_xlfn.XLOOKUP(B35,Engpar!A:A,Engpar!G:G)</f>
        <v>SERUYAN</v>
      </c>
      <c r="F35">
        <f>_xlfn.XLOOKUP(B35,Engpar!A:A,Engpar!J:J)</f>
        <v>-1.97021</v>
      </c>
      <c r="G35">
        <f>_xlfn.XLOOKUP(B35,Engpar!A:A,Engpar!K:K)</f>
        <v>112.17122999999999</v>
      </c>
      <c r="H35" t="str">
        <f>_xlfn.XLOOKUP(A35,Claim!C:C,Claim!I:I)</f>
        <v>INVERTER 300 W</v>
      </c>
      <c r="I35">
        <f>_xlfn.XLOOKUP(A35,Claim!C:C,Claim!J:J)</f>
        <v>1</v>
      </c>
      <c r="J35" t="str">
        <f>_xlfn.XLOOKUP(A35,Claim!C:C,Claim!M:M)</f>
        <v>REQUEST_GARANSI</v>
      </c>
      <c r="K35" t="str">
        <f>_xlfn.XLOOKUP(A35,Claim!C:C,Claim!O:O)</f>
        <v>Approved</v>
      </c>
      <c r="L35" t="str">
        <f>_xlfn.XLOOKUP(A35,Claim!C:C,Claim!P:P)</f>
        <v>MSS Pending Form</v>
      </c>
      <c r="M35" t="str">
        <f>_xlfn.XLOOKUP(A35,Claim!C:C,Claim!Q:Q)</f>
        <v>-</v>
      </c>
      <c r="N35" t="str" cm="1">
        <f t="array" ref="N35">_xlfn.IFS(
   OR(L35="Cancel", L35="Canceled", L35="Reject", L35="Rejected"), "Cancel / Rejected",
   AND(OR(J35="Request_Garansi", J35="Perbaikan_Asset"), OR(L35="Approved", L35="PMO Pending")), "MSS Need Send",
   TRUE, "Waiting Approval"
)</f>
        <v>Waiting Approval</v>
      </c>
      <c r="O35" t="str" cm="1">
        <f t="array" ref="O35">_xlfn.IFS(
   OR(M35="Cancel", M35="Canceled", M35="Reject", M35="Rejected", K35="Cancel", K35="Canceled", K35="Reject", K35="Rejected", L35="Cancel", L35="Canceled", L35="Reject", L35="Rejected"), "Cancel / Rejected",
   AND(OR(J35="Perbaikan_Asset"), OR(M35="KSO Pending")), "KSO Need Send",
   TRUE, "Waiting Approval"
)</f>
        <v>Waiting Approval</v>
      </c>
      <c r="Q35" t="str" cm="1">
        <f t="array" ref="Q35">_xlfn.IFS(
   OR(M35="Cancel", M35="Canceled", M35="Reject", M35="Rejected", K35="Cancel", K35="Canceled", K35="Reject", K35="Rejected", L35="Cancel", L35="Canceled", L35="Reject", L35="Rejected"), "Cancel / Rejected",
   P35&lt;&gt;"", "MSS Done Send",
   N35="MSS Need Send", "MSS Need Send",
   TRUE, "Waiting Approval"
)</f>
        <v>Waiting Approval</v>
      </c>
      <c r="S35" t="str" cm="1">
        <f t="array" ref="S35">_xlfn.IFS(
   OR(M35="Cancel", M35="Canceled", M35="Reject", M35="Rejected", K35="Cancel", K35="Canceled", K35="Reject", K35="Rejected", L35="Cancel", L35="Canceled", L35="Reject", L35="Rejected"), "Cancel / Rejected",
   R35&lt;&gt;"", "KSO Done Send",
   Q35="MSS Need Send", "MSS Need Send",
   O35="KSO Need Send", "KSO Need Send",
   TRUE, "Waiting Approval"
)</f>
        <v>Waiting Approval</v>
      </c>
    </row>
    <row r="36" spans="1:19" x14ac:dyDescent="0.25">
      <c r="A36" s="1" t="s">
        <v>267</v>
      </c>
      <c r="B36" s="1" t="s">
        <v>187</v>
      </c>
      <c r="C36" t="str">
        <f>_xlfn.XLOOKUP(B36,Engpar!A:A,Engpar!C:C)</f>
        <v>GANTUNG PENGAYUH</v>
      </c>
      <c r="D36" t="str">
        <f>_xlfn.XLOOKUP(B36,Engpar!A:A,Engpar!F:F)</f>
        <v>KALIMANTAN TENGAH</v>
      </c>
      <c r="E36" t="str">
        <f>_xlfn.XLOOKUP(B36,Engpar!A:A,Engpar!G:G)</f>
        <v>SERUYAN</v>
      </c>
      <c r="F36">
        <f>_xlfn.XLOOKUP(B36,Engpar!A:A,Engpar!J:J)</f>
        <v>-2.13192</v>
      </c>
      <c r="G36">
        <f>_xlfn.XLOOKUP(B36,Engpar!A:A,Engpar!K:K)</f>
        <v>112.17621</v>
      </c>
      <c r="H36" t="str">
        <f>_xlfn.XLOOKUP(A36,Claim!C:C,Claim!I:I)</f>
        <v>INVERTER 300 W</v>
      </c>
      <c r="I36">
        <f>_xlfn.XLOOKUP(A36,Claim!C:C,Claim!J:J)</f>
        <v>1</v>
      </c>
      <c r="J36" t="str">
        <f>_xlfn.XLOOKUP(A36,Claim!C:C,Claim!M:M)</f>
        <v>REQUEST_GARANSI</v>
      </c>
      <c r="K36" t="str">
        <f>_xlfn.XLOOKUP(A36,Claim!C:C,Claim!O:O)</f>
        <v>Approved</v>
      </c>
      <c r="L36" t="str">
        <f>_xlfn.XLOOKUP(A36,Claim!C:C,Claim!P:P)</f>
        <v>MSS Pending Form</v>
      </c>
      <c r="M36" t="str">
        <f>_xlfn.XLOOKUP(A36,Claim!C:C,Claim!Q:Q)</f>
        <v>-</v>
      </c>
      <c r="N36" t="str" cm="1">
        <f t="array" ref="N36">_xlfn.IFS(
   OR(L36="Cancel", L36="Canceled", L36="Reject", L36="Rejected"), "Cancel / Rejected",
   AND(OR(J36="Request_Garansi", J36="Perbaikan_Asset"), OR(L36="Approved", L36="PMO Pending")), "MSS Need Send",
   TRUE, "Waiting Approval"
)</f>
        <v>Waiting Approval</v>
      </c>
      <c r="O36" t="str" cm="1">
        <f t="array" ref="O36">_xlfn.IFS(
   OR(M36="Cancel", M36="Canceled", M36="Reject", M36="Rejected", K36="Cancel", K36="Canceled", K36="Reject", K36="Rejected", L36="Cancel", L36="Canceled", L36="Reject", L36="Rejected"), "Cancel / Rejected",
   AND(OR(J36="Perbaikan_Asset"), OR(M36="KSO Pending")), "KSO Need Send",
   TRUE, "Waiting Approval"
)</f>
        <v>Waiting Approval</v>
      </c>
      <c r="Q36" t="str" cm="1">
        <f t="array" ref="Q36">_xlfn.IFS(
   OR(M36="Cancel", M36="Canceled", M36="Reject", M36="Rejected", K36="Cancel", K36="Canceled", K36="Reject", K36="Rejected", L36="Cancel", L36="Canceled", L36="Reject", L36="Rejected"), "Cancel / Rejected",
   P36&lt;&gt;"", "MSS Done Send",
   N36="MSS Need Send", "MSS Need Send",
   TRUE, "Waiting Approval"
)</f>
        <v>Waiting Approval</v>
      </c>
      <c r="S36" t="str" cm="1">
        <f t="array" ref="S36">_xlfn.IFS(
   OR(M36="Cancel", M36="Canceled", M36="Reject", M36="Rejected", K36="Cancel", K36="Canceled", K36="Reject", K36="Rejected", L36="Cancel", L36="Canceled", L36="Reject", L36="Rejected"), "Cancel / Rejected",
   R36&lt;&gt;"", "KSO Done Send",
   Q36="MSS Need Send", "MSS Need Send",
   O36="KSO Need Send", "KSO Need Send",
   TRUE, "Waiting Approval"
)</f>
        <v>Waiting Approval</v>
      </c>
    </row>
    <row r="37" spans="1:19" x14ac:dyDescent="0.25">
      <c r="A37" s="1" t="s">
        <v>269</v>
      </c>
      <c r="B37" s="1" t="s">
        <v>223</v>
      </c>
      <c r="C37" t="str">
        <f>_xlfn.XLOOKUP(B37,Engpar!A:A,Engpar!C:C)</f>
        <v>DERAWA</v>
      </c>
      <c r="D37" t="str">
        <f>_xlfn.XLOOKUP(B37,Engpar!A:A,Engpar!F:F)</f>
        <v>KALIMANTAN TENGAH</v>
      </c>
      <c r="E37" t="str">
        <f>_xlfn.XLOOKUP(B37,Engpar!A:A,Engpar!G:G)</f>
        <v>SERUYAN</v>
      </c>
      <c r="F37">
        <f>_xlfn.XLOOKUP(B37,Engpar!A:A,Engpar!J:J)</f>
        <v>-2.14777</v>
      </c>
      <c r="G37">
        <f>_xlfn.XLOOKUP(B37,Engpar!A:A,Engpar!K:K)</f>
        <v>112.16604</v>
      </c>
      <c r="H37" t="str">
        <f>_xlfn.XLOOKUP(A37,Claim!C:C,Claim!I:I)</f>
        <v>INVERTER 300 W</v>
      </c>
      <c r="I37">
        <f>_xlfn.XLOOKUP(A37,Claim!C:C,Claim!J:J)</f>
        <v>1</v>
      </c>
      <c r="J37" t="str">
        <f>_xlfn.XLOOKUP(A37,Claim!C:C,Claim!M:M)</f>
        <v>REQUEST_GARANSI</v>
      </c>
      <c r="K37" t="str">
        <f>_xlfn.XLOOKUP(A37,Claim!C:C,Claim!O:O)</f>
        <v>Approved</v>
      </c>
      <c r="L37" t="str">
        <f>_xlfn.XLOOKUP(A37,Claim!C:C,Claim!P:P)</f>
        <v>MSS Pending Form</v>
      </c>
      <c r="M37" t="str">
        <f>_xlfn.XLOOKUP(A37,Claim!C:C,Claim!Q:Q)</f>
        <v>-</v>
      </c>
      <c r="N37" t="str" cm="1">
        <f t="array" ref="N37">_xlfn.IFS(
   OR(L37="Cancel", L37="Canceled", L37="Reject", L37="Rejected"), "Cancel / Rejected",
   AND(OR(J37="Request_Garansi", J37="Perbaikan_Asset"), OR(L37="Approved", L37="PMO Pending")), "MSS Need Send",
   TRUE, "Waiting Approval"
)</f>
        <v>Waiting Approval</v>
      </c>
      <c r="O37" t="str" cm="1">
        <f t="array" ref="O37">_xlfn.IFS(
   OR(M37="Cancel", M37="Canceled", M37="Reject", M37="Rejected", K37="Cancel", K37="Canceled", K37="Reject", K37="Rejected", L37="Cancel", L37="Canceled", L37="Reject", L37="Rejected"), "Cancel / Rejected",
   AND(OR(J37="Perbaikan_Asset"), OR(M37="KSO Pending")), "KSO Need Send",
   TRUE, "Waiting Approval"
)</f>
        <v>Waiting Approval</v>
      </c>
      <c r="Q37" t="str" cm="1">
        <f t="array" ref="Q37">_xlfn.IFS(
   OR(M37="Cancel", M37="Canceled", M37="Reject", M37="Rejected", K37="Cancel", K37="Canceled", K37="Reject", K37="Rejected", L37="Cancel", L37="Canceled", L37="Reject", L37="Rejected"), "Cancel / Rejected",
   P37&lt;&gt;"", "MSS Done Send",
   N37="MSS Need Send", "MSS Need Send",
   TRUE, "Waiting Approval"
)</f>
        <v>Waiting Approval</v>
      </c>
      <c r="S37" t="str" cm="1">
        <f t="array" ref="S37">_xlfn.IFS(
   OR(M37="Cancel", M37="Canceled", M37="Reject", M37="Rejected", K37="Cancel", K37="Canceled", K37="Reject", K37="Rejected", L37="Cancel", L37="Canceled", L37="Reject", L37="Rejected"), "Cancel / Rejected",
   R37&lt;&gt;"", "KSO Done Send",
   Q37="MSS Need Send", "MSS Need Send",
   O37="KSO Need Send", "KSO Need Send",
   TRUE, "Waiting Approval"
)</f>
        <v>Waiting Approval</v>
      </c>
    </row>
    <row r="38" spans="1:19" x14ac:dyDescent="0.25">
      <c r="A38" s="1" t="s">
        <v>271</v>
      </c>
      <c r="B38" s="1" t="s">
        <v>226</v>
      </c>
      <c r="C38" t="str">
        <f>_xlfn.XLOOKUP(B38,Engpar!A:A,Engpar!C:C)</f>
        <v>TUMBANG TAWAN</v>
      </c>
      <c r="D38" t="str">
        <f>_xlfn.XLOOKUP(B38,Engpar!A:A,Engpar!F:F)</f>
        <v>KALIMANTAN TENGAH</v>
      </c>
      <c r="E38" t="str">
        <f>_xlfn.XLOOKUP(B38,Engpar!A:A,Engpar!G:G)</f>
        <v>KOTAWARINGIN TIMUR</v>
      </c>
      <c r="F38">
        <f>_xlfn.XLOOKUP(B38,Engpar!A:A,Engpar!J:J)</f>
        <v>-1.63002</v>
      </c>
      <c r="G38">
        <f>_xlfn.XLOOKUP(B38,Engpar!A:A,Engpar!K:K)</f>
        <v>112.27889999999999</v>
      </c>
      <c r="H38" t="str">
        <f>_xlfn.XLOOKUP(A38,Claim!C:C,Claim!I:I)</f>
        <v>SOLAR CHARGE CONTROLLER</v>
      </c>
      <c r="I38">
        <f>_xlfn.XLOOKUP(A38,Claim!C:C,Claim!J:J)</f>
        <v>1</v>
      </c>
      <c r="J38" t="str">
        <f>_xlfn.XLOOKUP(A38,Claim!C:C,Claim!M:M)</f>
        <v>PRE_APPROVAL</v>
      </c>
      <c r="K38" t="str">
        <f>_xlfn.XLOOKUP(A38,Claim!C:C,Claim!O:O)</f>
        <v>KSO Pending</v>
      </c>
      <c r="L38" t="str">
        <f>_xlfn.XLOOKUP(A38,Claim!C:C,Claim!P:P)</f>
        <v>-</v>
      </c>
      <c r="M38" t="str">
        <f>_xlfn.XLOOKUP(A38,Claim!C:C,Claim!Q:Q)</f>
        <v>-</v>
      </c>
      <c r="N38" t="str" cm="1">
        <f t="array" ref="N38">_xlfn.IFS(
   OR(L38="Cancel", L38="Canceled", L38="Reject", L38="Rejected"), "Cancel / Rejected",
   AND(OR(J38="Request_Garansi", J38="Perbaikan_Asset"), OR(L38="Approved", L38="PMO Pending")), "MSS Need Send",
   TRUE, "Waiting Approval"
)</f>
        <v>Waiting Approval</v>
      </c>
      <c r="O38" t="str" cm="1">
        <f t="array" ref="O38">_xlfn.IFS(
   OR(M38="Cancel", M38="Canceled", M38="Reject", M38="Rejected", K38="Cancel", K38="Canceled", K38="Reject", K38="Rejected", L38="Cancel", L38="Canceled", L38="Reject", L38="Rejected"), "Cancel / Rejected",
   AND(OR(J38="Perbaikan_Asset"), OR(M38="KSO Pending")), "KSO Need Send",
   TRUE, "Waiting Approval"
)</f>
        <v>Waiting Approval</v>
      </c>
      <c r="P38" t="s">
        <v>1404</v>
      </c>
      <c r="Q38" t="str" cm="1">
        <f t="array" ref="Q38">_xlfn.IFS(
   OR(M38="Cancel", M38="Canceled", M38="Reject", M38="Rejected", K38="Cancel", K38="Canceled", K38="Reject", K38="Rejected", L38="Cancel", L38="Canceled", L38="Reject", L38="Rejected"), "Cancel / Rejected",
   P38&lt;&gt;"", "MSS Done Send",
   N38="MSS Need Send", "MSS Need Send",
   TRUE, "Waiting Approval"
)</f>
        <v>MSS Done Send</v>
      </c>
      <c r="S38" t="str" cm="1">
        <f t="array" ref="S38">_xlfn.IFS(
   OR(M38="Cancel", M38="Canceled", M38="Reject", M38="Rejected", K38="Cancel", K38="Canceled", K38="Reject", K38="Rejected", L38="Cancel", L38="Canceled", L38="Reject", L38="Rejected"), "Cancel / Rejected",
   R38&lt;&gt;"", "KSO Done Send",
   Q38="MSS Need Send", "MSS Need Send",
   O38="KSO Need Send", "KSO Need Send",
   TRUE, "Waiting Approval"
)</f>
        <v>Waiting Approval</v>
      </c>
    </row>
    <row r="39" spans="1:19" x14ac:dyDescent="0.25">
      <c r="A39" s="1" t="s">
        <v>273</v>
      </c>
      <c r="B39" s="1" t="s">
        <v>206</v>
      </c>
      <c r="C39" t="str">
        <f>_xlfn.XLOOKUP(B39,Engpar!A:A,Engpar!C:C)</f>
        <v>TELUK SUMBANG</v>
      </c>
      <c r="D39" t="str">
        <f>_xlfn.XLOOKUP(B39,Engpar!A:A,Engpar!F:F)</f>
        <v>KALIMANTAN TIMUR</v>
      </c>
      <c r="E39" t="str">
        <f>_xlfn.XLOOKUP(B39,Engpar!A:A,Engpar!G:G)</f>
        <v>BERAU</v>
      </c>
      <c r="F39">
        <f>_xlfn.XLOOKUP(B39,Engpar!A:A,Engpar!J:J)</f>
        <v>1.05237</v>
      </c>
      <c r="G39">
        <f>_xlfn.XLOOKUP(B39,Engpar!A:A,Engpar!K:K)</f>
        <v>118.83427</v>
      </c>
      <c r="H39" t="str">
        <f>_xlfn.XLOOKUP(A39,Claim!C:C,Claim!I:I)</f>
        <v>INVERTER 300 W</v>
      </c>
      <c r="I39">
        <f>_xlfn.XLOOKUP(A39,Claim!C:C,Claim!J:J)</f>
        <v>1</v>
      </c>
      <c r="J39" t="str">
        <f>_xlfn.XLOOKUP(A39,Claim!C:C,Claim!M:M)</f>
        <v>PRE_APPROVAL</v>
      </c>
      <c r="K39" t="str">
        <f>_xlfn.XLOOKUP(A39,Claim!C:C,Claim!O:O)</f>
        <v>KSO Pending</v>
      </c>
      <c r="L39" t="str">
        <f>_xlfn.XLOOKUP(A39,Claim!C:C,Claim!P:P)</f>
        <v>-</v>
      </c>
      <c r="M39" t="str">
        <f>_xlfn.XLOOKUP(A39,Claim!C:C,Claim!Q:Q)</f>
        <v>-</v>
      </c>
      <c r="N39" t="str" cm="1">
        <f t="array" ref="N39">_xlfn.IFS(
   OR(L39="Cancel", L39="Canceled", L39="Reject", L39="Rejected"), "Cancel / Rejected",
   AND(OR(J39="Request_Garansi", J39="Perbaikan_Asset"), OR(L39="Approved", L39="PMO Pending")), "MSS Need Send",
   TRUE, "Waiting Approval"
)</f>
        <v>Waiting Approval</v>
      </c>
      <c r="O39" t="str" cm="1">
        <f t="array" ref="O39">_xlfn.IFS(
   OR(M39="Cancel", M39="Canceled", M39="Reject", M39="Rejected", K39="Cancel", K39="Canceled", K39="Reject", K39="Rejected", L39="Cancel", L39="Canceled", L39="Reject", L39="Rejected"), "Cancel / Rejected",
   AND(OR(J39="Perbaikan_Asset"), OR(M39="KSO Pending")), "KSO Need Send",
   TRUE, "Waiting Approval"
)</f>
        <v>Waiting Approval</v>
      </c>
      <c r="P39" t="s">
        <v>1406</v>
      </c>
      <c r="Q39" t="str" cm="1">
        <f t="array" ref="Q39">_xlfn.IFS(
   OR(M39="Cancel", M39="Canceled", M39="Reject", M39="Rejected", K39="Cancel", K39="Canceled", K39="Reject", K39="Rejected", L39="Cancel", L39="Canceled", L39="Reject", L39="Rejected"), "Cancel / Rejected",
   P39&lt;&gt;"", "MSS Done Send",
   N39="MSS Need Send", "MSS Need Send",
   TRUE, "Waiting Approval"
)</f>
        <v>MSS Done Send</v>
      </c>
      <c r="S39" t="str" cm="1">
        <f t="array" ref="S39">_xlfn.IFS(
   OR(M39="Cancel", M39="Canceled", M39="Reject", M39="Rejected", K39="Cancel", K39="Canceled", K39="Reject", K39="Rejected", L39="Cancel", L39="Canceled", L39="Reject", L39="Rejected"), "Cancel / Rejected",
   R39&lt;&gt;"", "KSO Done Send",
   Q39="MSS Need Send", "MSS Need Send",
   O39="KSO Need Send", "KSO Need Send",
   TRUE, "Waiting Approval"
)</f>
        <v>Waiting Approval</v>
      </c>
    </row>
    <row r="40" spans="1:19" x14ac:dyDescent="0.25">
      <c r="A40" s="1" t="s">
        <v>275</v>
      </c>
      <c r="B40" s="1" t="s">
        <v>222</v>
      </c>
      <c r="C40" t="str">
        <f>_xlfn.XLOOKUP(B40,Engpar!A:A,Engpar!C:C)</f>
        <v>TUMBANG BAI</v>
      </c>
      <c r="D40" t="str">
        <f>_xlfn.XLOOKUP(B40,Engpar!A:A,Engpar!F:F)</f>
        <v>KALIMANTAN TENGAH</v>
      </c>
      <c r="E40" t="str">
        <f>_xlfn.XLOOKUP(B40,Engpar!A:A,Engpar!G:G)</f>
        <v>SERUYAN</v>
      </c>
      <c r="F40">
        <f>_xlfn.XLOOKUP(B40,Engpar!A:A,Engpar!J:J)</f>
        <v>-1.9552499999999999</v>
      </c>
      <c r="G40">
        <f>_xlfn.XLOOKUP(B40,Engpar!A:A,Engpar!K:K)</f>
        <v>112.16068</v>
      </c>
      <c r="H40" t="str">
        <f>_xlfn.XLOOKUP(A40,Claim!C:C,Claim!I:I)</f>
        <v>SOLAR CHARGE CONTROLLER</v>
      </c>
      <c r="I40">
        <f>_xlfn.XLOOKUP(A40,Claim!C:C,Claim!J:J)</f>
        <v>1</v>
      </c>
      <c r="J40" t="str">
        <f>_xlfn.XLOOKUP(A40,Claim!C:C,Claim!M:M)</f>
        <v>REQUEST_GARANSI</v>
      </c>
      <c r="K40" t="str">
        <f>_xlfn.XLOOKUP(A40,Claim!C:C,Claim!O:O)</f>
        <v>Approved</v>
      </c>
      <c r="L40" t="str">
        <f>_xlfn.XLOOKUP(A40,Claim!C:C,Claim!P:P)</f>
        <v>MSS Pending Form</v>
      </c>
      <c r="M40" t="str">
        <f>_xlfn.XLOOKUP(A40,Claim!C:C,Claim!Q:Q)</f>
        <v>-</v>
      </c>
      <c r="N40" t="str" cm="1">
        <f t="array" ref="N40">_xlfn.IFS(
   OR(L40="Cancel", L40="Canceled", L40="Reject", L40="Rejected"), "Cancel / Rejected",
   AND(OR(J40="Request_Garansi", J40="Perbaikan_Asset"), OR(L40="Approved", L40="PMO Pending")), "MSS Need Send",
   TRUE, "Waiting Approval"
)</f>
        <v>Waiting Approval</v>
      </c>
      <c r="O40" t="str" cm="1">
        <f t="array" ref="O40">_xlfn.IFS(
   OR(M40="Cancel", M40="Canceled", M40="Reject", M40="Rejected", K40="Cancel", K40="Canceled", K40="Reject", K40="Rejected", L40="Cancel", L40="Canceled", L40="Reject", L40="Rejected"), "Cancel / Rejected",
   AND(OR(J40="Perbaikan_Asset"), OR(M40="KSO Pending")), "KSO Need Send",
   TRUE, "Waiting Approval"
)</f>
        <v>Waiting Approval</v>
      </c>
      <c r="Q40" t="str" cm="1">
        <f t="array" ref="Q40">_xlfn.IFS(
   OR(M40="Cancel", M40="Canceled", M40="Reject", M40="Rejected", K40="Cancel", K40="Canceled", K40="Reject", K40="Rejected", L40="Cancel", L40="Canceled", L40="Reject", L40="Rejected"), "Cancel / Rejected",
   P40&lt;&gt;"", "MSS Done Send",
   N40="MSS Need Send", "MSS Need Send",
   TRUE, "Waiting Approval"
)</f>
        <v>Waiting Approval</v>
      </c>
      <c r="S40" t="str" cm="1">
        <f t="array" ref="S40">_xlfn.IFS(
   OR(M40="Cancel", M40="Canceled", M40="Reject", M40="Rejected", K40="Cancel", K40="Canceled", K40="Reject", K40="Rejected", L40="Cancel", L40="Canceled", L40="Reject", L40="Rejected"), "Cancel / Rejected",
   R40&lt;&gt;"", "KSO Done Send",
   Q40="MSS Need Send", "MSS Need Send",
   O40="KSO Need Send", "KSO Need Send",
   TRUE, "Waiting Approval"
)</f>
        <v>Waiting Approval</v>
      </c>
    </row>
    <row r="41" spans="1:19" x14ac:dyDescent="0.25">
      <c r="A41" s="1" t="s">
        <v>277</v>
      </c>
      <c r="B41" s="1" t="s">
        <v>48</v>
      </c>
      <c r="C41" t="str">
        <f>_xlfn.XLOOKUP(B41,Engpar!A:A,Engpar!C:C)</f>
        <v>TUMBANG SUEI</v>
      </c>
      <c r="D41" t="str">
        <f>_xlfn.XLOOKUP(B41,Engpar!A:A,Engpar!F:F)</f>
        <v>KALIMANTAN TENGAH</v>
      </c>
      <c r="E41" t="str">
        <f>_xlfn.XLOOKUP(B41,Engpar!A:A,Engpar!G:G)</f>
        <v>SERUYAN</v>
      </c>
      <c r="F41">
        <f>_xlfn.XLOOKUP(B41,Engpar!A:A,Engpar!J:J)</f>
        <v>-1.31559</v>
      </c>
      <c r="G41">
        <f>_xlfn.XLOOKUP(B41,Engpar!A:A,Engpar!K:K)</f>
        <v>111.855</v>
      </c>
      <c r="H41" t="str">
        <f>_xlfn.XLOOKUP(A41,Claim!C:C,Claim!I:I)</f>
        <v>BATERAI</v>
      </c>
      <c r="I41">
        <f>_xlfn.XLOOKUP(A41,Claim!C:C,Claim!J:J)</f>
        <v>2</v>
      </c>
      <c r="J41" t="str">
        <f>_xlfn.XLOOKUP(A41,Claim!C:C,Claim!M:M)</f>
        <v>PRE_APPROVAL</v>
      </c>
      <c r="K41" t="str">
        <f>_xlfn.XLOOKUP(A41,Claim!C:C,Claim!O:O)</f>
        <v>Canceled</v>
      </c>
      <c r="L41" t="str">
        <f>_xlfn.XLOOKUP(A41,Claim!C:C,Claim!P:P)</f>
        <v>-</v>
      </c>
      <c r="M41" t="str">
        <f>_xlfn.XLOOKUP(A41,Claim!C:C,Claim!Q:Q)</f>
        <v>-</v>
      </c>
      <c r="N41" t="str" cm="1">
        <f t="array" ref="N41">_xlfn.IFS(
   OR(L41="Cancel", L41="Canceled", L41="Reject", L41="Rejected"), "Cancel / Rejected",
   AND(OR(J41="Request_Garansi", J41="Perbaikan_Asset"), OR(L41="Approved", L41="PMO Pending")), "MSS Need Send",
   TRUE, "Waiting Approval"
)</f>
        <v>Waiting Approval</v>
      </c>
      <c r="O41" t="str" cm="1">
        <f t="array" ref="O41">_xlfn.IFS(
   OR(M41="Cancel", M41="Canceled", M41="Reject", M41="Rejected", K41="Cancel", K41="Canceled", K41="Reject", K41="Rejected", L41="Cancel", L41="Canceled", L41="Reject", L41="Rejected"), "Cancel / Rejected",
   AND(OR(J41="Perbaikan_Asset"), OR(M41="KSO Pending")), "KSO Need Send",
   TRUE, "Waiting Approval"
)</f>
        <v>Cancel / Rejected</v>
      </c>
      <c r="Q41" t="str" cm="1">
        <f t="array" ref="Q41">_xlfn.IFS(
   OR(M41="Cancel", M41="Canceled", M41="Reject", M41="Rejected", K41="Cancel", K41="Canceled", K41="Reject", K41="Rejected", L41="Cancel", L41="Canceled", L41="Reject", L41="Rejected"), "Cancel / Rejected",
   P41&lt;&gt;"", "MSS Done Send",
   N41="MSS Need Send", "MSS Need Send",
   TRUE, "Waiting Approval"
)</f>
        <v>Cancel / Rejected</v>
      </c>
      <c r="S41" t="str" cm="1">
        <f t="array" ref="S41">_xlfn.IFS(
   OR(M41="Cancel", M41="Canceled", M41="Reject", M41="Rejected", K41="Cancel", K41="Canceled", K41="Reject", K41="Rejected", L41="Cancel", L41="Canceled", L41="Reject", L41="Rejected"), "Cancel / Rejected",
   R41&lt;&gt;"", "KSO Done Send",
   Q41="MSS Need Send", "MSS Need Send",
   O41="KSO Need Send", "KSO Need Send",
   TRUE, "Waiting Approval"
)</f>
        <v>Cancel / Rejected</v>
      </c>
    </row>
    <row r="42" spans="1:19" x14ac:dyDescent="0.25">
      <c r="A42" s="1" t="s">
        <v>282</v>
      </c>
      <c r="B42" s="1" t="s">
        <v>58</v>
      </c>
      <c r="C42" t="str">
        <f>_xlfn.XLOOKUP(B42,Engpar!A:A,Engpar!C:C)</f>
        <v>RANTAU BAHAI</v>
      </c>
      <c r="D42" t="str">
        <f>_xlfn.XLOOKUP(B42,Engpar!A:A,Engpar!F:F)</f>
        <v>KALIMANTAN TENGAH</v>
      </c>
      <c r="E42" t="str">
        <f>_xlfn.XLOOKUP(B42,Engpar!A:A,Engpar!G:G)</f>
        <v>KATINGAN</v>
      </c>
      <c r="F42">
        <f>_xlfn.XLOOKUP(B42,Engpar!A:A,Engpar!J:J)</f>
        <v>-1.0578399999999999</v>
      </c>
      <c r="G42">
        <f>_xlfn.XLOOKUP(B42,Engpar!A:A,Engpar!K:K)</f>
        <v>112.43424</v>
      </c>
      <c r="H42" t="str">
        <f>_xlfn.XLOOKUP(A42,Claim!C:C,Claim!I:I)</f>
        <v>BATERAI</v>
      </c>
      <c r="I42">
        <f>_xlfn.XLOOKUP(A42,Claim!C:C,Claim!J:J)</f>
        <v>2</v>
      </c>
      <c r="J42" t="str">
        <f>_xlfn.XLOOKUP(A42,Claim!C:C,Claim!M:M)</f>
        <v>REQUEST_GARANSI</v>
      </c>
      <c r="K42" t="str">
        <f>_xlfn.XLOOKUP(A42,Claim!C:C,Claim!O:O)</f>
        <v>Approved</v>
      </c>
      <c r="L42" t="str">
        <f>_xlfn.XLOOKUP(A42,Claim!C:C,Claim!P:P)</f>
        <v>MSS Pending Form</v>
      </c>
      <c r="M42" t="str">
        <f>_xlfn.XLOOKUP(A42,Claim!C:C,Claim!Q:Q)</f>
        <v>-</v>
      </c>
      <c r="N42" t="str" cm="1">
        <f t="array" ref="N42">_xlfn.IFS(
   OR(L42="Cancel", L42="Canceled", L42="Reject", L42="Rejected"), "Cancel / Rejected",
   AND(OR(J42="Request_Garansi", J42="Perbaikan_Asset"), OR(L42="Approved", L42="PMO Pending")), "MSS Need Send",
   TRUE, "Waiting Approval"
)</f>
        <v>Waiting Approval</v>
      </c>
      <c r="O42" t="str" cm="1">
        <f t="array" ref="O42">_xlfn.IFS(
   OR(M42="Cancel", M42="Canceled", M42="Reject", M42="Rejected", K42="Cancel", K42="Canceled", K42="Reject", K42="Rejected", L42="Cancel", L42="Canceled", L42="Reject", L42="Rejected"), "Cancel / Rejected",
   AND(OR(J42="Perbaikan_Asset"), OR(M42="KSO Pending")), "KSO Need Send",
   TRUE, "Waiting Approval"
)</f>
        <v>Waiting Approval</v>
      </c>
      <c r="P42" t="s">
        <v>1404</v>
      </c>
      <c r="Q42" t="str" cm="1">
        <f t="array" ref="Q42">_xlfn.IFS(
   OR(M42="Cancel", M42="Canceled", M42="Reject", M42="Rejected", K42="Cancel", K42="Canceled", K42="Reject", K42="Rejected", L42="Cancel", L42="Canceled", L42="Reject", L42="Rejected"), "Cancel / Rejected",
   P42&lt;&gt;"", "MSS Done Send",
   N42="MSS Need Send", "MSS Need Send",
   TRUE, "Waiting Approval"
)</f>
        <v>MSS Done Send</v>
      </c>
      <c r="S42" t="str" cm="1">
        <f t="array" ref="S42">_xlfn.IFS(
   OR(M42="Cancel", M42="Canceled", M42="Reject", M42="Rejected", K42="Cancel", K42="Canceled", K42="Reject", K42="Rejected", L42="Cancel", L42="Canceled", L42="Reject", L42="Rejected"), "Cancel / Rejected",
   R42&lt;&gt;"", "KSO Done Send",
   Q42="MSS Need Send", "MSS Need Send",
   O42="KSO Need Send", "KSO Need Send",
   TRUE, "Waiting Approval"
)</f>
        <v>Waiting Approval</v>
      </c>
    </row>
    <row r="43" spans="1:19" x14ac:dyDescent="0.25">
      <c r="A43" s="1" t="s">
        <v>280</v>
      </c>
      <c r="B43" s="1" t="s">
        <v>201</v>
      </c>
      <c r="C43" t="str">
        <f>_xlfn.XLOOKUP(B43,Engpar!A:A,Engpar!C:C)</f>
        <v>TANJUNG MANGKALIHAT</v>
      </c>
      <c r="D43" t="str">
        <f>_xlfn.XLOOKUP(B43,Engpar!A:A,Engpar!F:F)</f>
        <v>KALIMANTAN TIMUR</v>
      </c>
      <c r="E43" t="str">
        <f>_xlfn.XLOOKUP(B43,Engpar!A:A,Engpar!G:G)</f>
        <v>KUTAI TIMUR</v>
      </c>
      <c r="F43">
        <f>_xlfn.XLOOKUP(B43,Engpar!A:A,Engpar!J:J)</f>
        <v>1.0035000000000001</v>
      </c>
      <c r="G43">
        <f>_xlfn.XLOOKUP(B43,Engpar!A:A,Engpar!K:K)</f>
        <v>118.97835000000001</v>
      </c>
      <c r="H43" t="str">
        <f>_xlfn.XLOOKUP(A43,Claim!C:C,Claim!I:I)</f>
        <v>INVERTER 300 W</v>
      </c>
      <c r="I43">
        <f>_xlfn.XLOOKUP(A43,Claim!C:C,Claim!J:J)</f>
        <v>1</v>
      </c>
      <c r="J43" t="str">
        <f>_xlfn.XLOOKUP(A43,Claim!C:C,Claim!M:M)</f>
        <v>REQUEST_GARANSI</v>
      </c>
      <c r="K43" t="str">
        <f>_xlfn.XLOOKUP(A43,Claim!C:C,Claim!O:O)</f>
        <v>Approved</v>
      </c>
      <c r="L43" t="str">
        <f>_xlfn.XLOOKUP(A43,Claim!C:C,Claim!P:P)</f>
        <v>MSS Pending Form</v>
      </c>
      <c r="M43" t="str">
        <f>_xlfn.XLOOKUP(A43,Claim!C:C,Claim!Q:Q)</f>
        <v>-</v>
      </c>
      <c r="N43" t="str" cm="1">
        <f t="array" ref="N43">_xlfn.IFS(
   OR(L43="Cancel", L43="Canceled", L43="Reject", L43="Rejected"), "Cancel / Rejected",
   AND(OR(J43="Request_Garansi", J43="Perbaikan_Asset"), OR(L43="Approved", L43="PMO Pending")), "MSS Need Send",
   TRUE, "Waiting Approval"
)</f>
        <v>Waiting Approval</v>
      </c>
      <c r="O43" t="str" cm="1">
        <f t="array" ref="O43">_xlfn.IFS(
   OR(M43="Cancel", M43="Canceled", M43="Reject", M43="Rejected", K43="Cancel", K43="Canceled", K43="Reject", K43="Rejected", L43="Cancel", L43="Canceled", L43="Reject", L43="Rejected"), "Cancel / Rejected",
   AND(OR(J43="Perbaikan_Asset"), OR(M43="KSO Pending")), "KSO Need Send",
   TRUE, "Waiting Approval"
)</f>
        <v>Waiting Approval</v>
      </c>
      <c r="P43" t="s">
        <v>1406</v>
      </c>
      <c r="Q43" t="str" cm="1">
        <f t="array" ref="Q43">_xlfn.IFS(
   OR(M43="Cancel", M43="Canceled", M43="Reject", M43="Rejected", K43="Cancel", K43="Canceled", K43="Reject", K43="Rejected", L43="Cancel", L43="Canceled", L43="Reject", L43="Rejected"), "Cancel / Rejected",
   P43&lt;&gt;"", "MSS Done Send",
   N43="MSS Need Send", "MSS Need Send",
   TRUE, "Waiting Approval"
)</f>
        <v>MSS Done Send</v>
      </c>
      <c r="S43" t="str" cm="1">
        <f t="array" ref="S43">_xlfn.IFS(
   OR(M43="Cancel", M43="Canceled", M43="Reject", M43="Rejected", K43="Cancel", K43="Canceled", K43="Reject", K43="Rejected", L43="Cancel", L43="Canceled", L43="Reject", L43="Rejected"), "Cancel / Rejected",
   R43&lt;&gt;"", "KSO Done Send",
   Q43="MSS Need Send", "MSS Need Send",
   O43="KSO Need Send", "KSO Need Send",
   TRUE, "Waiting Approval"
)</f>
        <v>Waiting Approval</v>
      </c>
    </row>
    <row r="44" spans="1:19" x14ac:dyDescent="0.25">
      <c r="A44" s="1" t="s">
        <v>196</v>
      </c>
      <c r="B44" s="1" t="s">
        <v>195</v>
      </c>
      <c r="C44" t="str">
        <f>_xlfn.XLOOKUP(B44,Engpar!A:A,Engpar!C:C)</f>
        <v>SANDARAN</v>
      </c>
      <c r="D44" t="str">
        <f>_xlfn.XLOOKUP(B44,Engpar!A:A,Engpar!F:F)</f>
        <v>KALIMANTAN TIMUR</v>
      </c>
      <c r="E44" t="str">
        <f>_xlfn.XLOOKUP(B44,Engpar!A:A,Engpar!G:G)</f>
        <v>KUTAI TIMUR</v>
      </c>
      <c r="F44">
        <f>_xlfn.XLOOKUP(B44,Engpar!A:A,Engpar!J:J)</f>
        <v>0.87951999999999997</v>
      </c>
      <c r="G44">
        <f>_xlfn.XLOOKUP(B44,Engpar!A:A,Engpar!K:K)</f>
        <v>118.87076999999999</v>
      </c>
      <c r="H44" t="str">
        <f>_xlfn.XLOOKUP(A44,Claim!C:C,Claim!I:I)</f>
        <v>SOLAR CHARGE CONTROLLER</v>
      </c>
      <c r="I44">
        <f>_xlfn.XLOOKUP(A44,Claim!C:C,Claim!J:J)</f>
        <v>1</v>
      </c>
      <c r="J44" t="str">
        <f>_xlfn.XLOOKUP(A44,Claim!C:C,Claim!M:M)</f>
        <v>PRE_APPROVAL</v>
      </c>
      <c r="K44" t="str">
        <f>_xlfn.XLOOKUP(A44,Claim!C:C,Claim!O:O)</f>
        <v>Rejected</v>
      </c>
      <c r="L44" t="str">
        <f>_xlfn.XLOOKUP(A44,Claim!C:C,Claim!P:P)</f>
        <v>-</v>
      </c>
      <c r="M44" t="str">
        <f>_xlfn.XLOOKUP(A44,Claim!C:C,Claim!Q:Q)</f>
        <v>-</v>
      </c>
      <c r="N44" t="str" cm="1">
        <f t="array" ref="N44">_xlfn.IFS(
   OR(L44="Cancel", L44="Canceled", L44="Reject", L44="Rejected"), "Cancel / Rejected",
   AND(OR(J44="Request_Garansi", J44="Perbaikan_Asset"), OR(L44="Approved", L44="PMO Pending")), "MSS Need Send",
   TRUE, "Waiting Approval"
)</f>
        <v>Waiting Approval</v>
      </c>
      <c r="O44" t="str" cm="1">
        <f t="array" ref="O44">_xlfn.IFS(
   OR(M44="Cancel", M44="Canceled", M44="Reject", M44="Rejected", K44="Cancel", K44="Canceled", K44="Reject", K44="Rejected", L44="Cancel", L44="Canceled", L44="Reject", L44="Rejected"), "Cancel / Rejected",
   AND(OR(J44="Perbaikan_Asset"), OR(M44="KSO Pending")), "KSO Need Send",
   TRUE, "Waiting Approval"
)</f>
        <v>Cancel / Rejected</v>
      </c>
      <c r="Q44" t="str" cm="1">
        <f t="array" ref="Q44">_xlfn.IFS(
   OR(M44="Cancel", M44="Canceled", M44="Reject", M44="Rejected", K44="Cancel", K44="Canceled", K44="Reject", K44="Rejected", L44="Cancel", L44="Canceled", L44="Reject", L44="Rejected"), "Cancel / Rejected",
   P44&lt;&gt;"", "MSS Done Send",
   N44="MSS Need Send", "MSS Need Send",
   TRUE, "Waiting Approval"
)</f>
        <v>Cancel / Rejected</v>
      </c>
      <c r="S44" t="str" cm="1">
        <f t="array" ref="S44">_xlfn.IFS(
   OR(M44="Cancel", M44="Canceled", M44="Reject", M44="Rejected", K44="Cancel", K44="Canceled", K44="Reject", K44="Rejected", L44="Cancel", L44="Canceled", L44="Reject", L44="Rejected"), "Cancel / Rejected",
   R44&lt;&gt;"", "KSO Done Send",
   Q44="MSS Need Send", "MSS Need Send",
   O44="KSO Need Send", "KSO Need Send",
   TRUE, "Waiting Approval"
)</f>
        <v>Cancel / Rejected</v>
      </c>
    </row>
    <row r="45" spans="1:19" x14ac:dyDescent="0.25">
      <c r="A45" s="1" t="s">
        <v>199</v>
      </c>
      <c r="B45" s="1" t="s">
        <v>58</v>
      </c>
      <c r="C45" t="str">
        <f>_xlfn.XLOOKUP(B45,Engpar!A:A,Engpar!C:C)</f>
        <v>RANTAU BAHAI</v>
      </c>
      <c r="D45" t="str">
        <f>_xlfn.XLOOKUP(B45,Engpar!A:A,Engpar!F:F)</f>
        <v>KALIMANTAN TENGAH</v>
      </c>
      <c r="E45" t="str">
        <f>_xlfn.XLOOKUP(B45,Engpar!A:A,Engpar!G:G)</f>
        <v>KATINGAN</v>
      </c>
      <c r="F45">
        <f>_xlfn.XLOOKUP(B45,Engpar!A:A,Engpar!J:J)</f>
        <v>-1.0578399999999999</v>
      </c>
      <c r="G45">
        <f>_xlfn.XLOOKUP(B45,Engpar!A:A,Engpar!K:K)</f>
        <v>112.43424</v>
      </c>
      <c r="H45" t="str">
        <f>_xlfn.XLOOKUP(A45,Claim!C:C,Claim!I:I)</f>
        <v>BATERAI</v>
      </c>
      <c r="I45">
        <f>_xlfn.XLOOKUP(A45,Claim!C:C,Claim!J:J)</f>
        <v>2</v>
      </c>
      <c r="J45" t="str">
        <f>_xlfn.XLOOKUP(A45,Claim!C:C,Claim!M:M)</f>
        <v>PRE_APPROVAL</v>
      </c>
      <c r="K45" t="str">
        <f>_xlfn.XLOOKUP(A45,Claim!C:C,Claim!O:O)</f>
        <v>Rejected</v>
      </c>
      <c r="L45" t="str">
        <f>_xlfn.XLOOKUP(A45,Claim!C:C,Claim!P:P)</f>
        <v>-</v>
      </c>
      <c r="M45" t="str">
        <f>_xlfn.XLOOKUP(A45,Claim!C:C,Claim!Q:Q)</f>
        <v>-</v>
      </c>
      <c r="N45" t="str" cm="1">
        <f t="array" ref="N45">_xlfn.IFS(
   OR(L45="Cancel", L45="Canceled", L45="Reject", L45="Rejected"), "Cancel / Rejected",
   AND(OR(J45="Request_Garansi", J45="Perbaikan_Asset"), OR(L45="Approved", L45="PMO Pending")), "MSS Need Send",
   TRUE, "Waiting Approval"
)</f>
        <v>Waiting Approval</v>
      </c>
      <c r="O45" t="str" cm="1">
        <f t="array" ref="O45">_xlfn.IFS(
   OR(M45="Cancel", M45="Canceled", M45="Reject", M45="Rejected", K45="Cancel", K45="Canceled", K45="Reject", K45="Rejected", L45="Cancel", L45="Canceled", L45="Reject", L45="Rejected"), "Cancel / Rejected",
   AND(OR(J45="Perbaikan_Asset"), OR(M45="KSO Pending")), "KSO Need Send",
   TRUE, "Waiting Approval"
)</f>
        <v>Cancel / Rejected</v>
      </c>
      <c r="P45" t="s">
        <v>1405</v>
      </c>
      <c r="Q45" t="str" cm="1">
        <f t="array" ref="Q45">_xlfn.IFS(
   OR(M45="Cancel", M45="Canceled", M45="Reject", M45="Rejected", K45="Cancel", K45="Canceled", K45="Reject", K45="Rejected", L45="Cancel", L45="Canceled", L45="Reject", L45="Rejected"), "Cancel / Rejected",
   P45&lt;&gt;"", "MSS Done Send",
   N45="MSS Need Send", "MSS Need Send",
   TRUE, "Waiting Approval"
)</f>
        <v>Cancel / Rejected</v>
      </c>
      <c r="S45" t="str" cm="1">
        <f t="array" ref="S45">_xlfn.IFS(
   OR(M45="Cancel", M45="Canceled", M45="Reject", M45="Rejected", K45="Cancel", K45="Canceled", K45="Reject", K45="Rejected", L45="Cancel", L45="Canceled", L45="Reject", L45="Rejected"), "Cancel / Rejected",
   R45&lt;&gt;"", "KSO Done Send",
   Q45="MSS Need Send", "MSS Need Send",
   O45="KSO Need Send", "KSO Need Send",
   TRUE, "Waiting Approval"
)</f>
        <v>Cancel / Rejected</v>
      </c>
    </row>
    <row r="46" spans="1:19" x14ac:dyDescent="0.25">
      <c r="A46" s="1" t="s">
        <v>202</v>
      </c>
      <c r="B46" s="1" t="s">
        <v>201</v>
      </c>
      <c r="C46" t="str">
        <f>_xlfn.XLOOKUP(B46,Engpar!A:A,Engpar!C:C)</f>
        <v>TANJUNG MANGKALIHAT</v>
      </c>
      <c r="D46" t="str">
        <f>_xlfn.XLOOKUP(B46,Engpar!A:A,Engpar!F:F)</f>
        <v>KALIMANTAN TIMUR</v>
      </c>
      <c r="E46" t="str">
        <f>_xlfn.XLOOKUP(B46,Engpar!A:A,Engpar!G:G)</f>
        <v>KUTAI TIMUR</v>
      </c>
      <c r="F46">
        <f>_xlfn.XLOOKUP(B46,Engpar!A:A,Engpar!J:J)</f>
        <v>1.0035000000000001</v>
      </c>
      <c r="G46">
        <f>_xlfn.XLOOKUP(B46,Engpar!A:A,Engpar!K:K)</f>
        <v>118.97835000000001</v>
      </c>
      <c r="H46" t="str">
        <f>_xlfn.XLOOKUP(A46,Claim!C:C,Claim!I:I)</f>
        <v>SOLAR CHARGE CONTROLLER</v>
      </c>
      <c r="I46">
        <f>_xlfn.XLOOKUP(A46,Claim!C:C,Claim!J:J)</f>
        <v>1</v>
      </c>
      <c r="J46" t="str">
        <f>_xlfn.XLOOKUP(A46,Claim!C:C,Claim!M:M)</f>
        <v>REQUEST_GARANSI</v>
      </c>
      <c r="K46" t="str">
        <f>_xlfn.XLOOKUP(A46,Claim!C:C,Claim!O:O)</f>
        <v>Approved</v>
      </c>
      <c r="L46" t="str">
        <f>_xlfn.XLOOKUP(A46,Claim!C:C,Claim!P:P)</f>
        <v>MSS Pending Form</v>
      </c>
      <c r="M46" t="str">
        <f>_xlfn.XLOOKUP(A46,Claim!C:C,Claim!Q:Q)</f>
        <v>-</v>
      </c>
      <c r="N46" t="str" cm="1">
        <f t="array" ref="N46">_xlfn.IFS(
   OR(L46="Cancel", L46="Canceled", L46="Reject", L46="Rejected"), "Cancel / Rejected",
   AND(OR(J46="Request_Garansi", J46="Perbaikan_Asset"), OR(L46="Approved", L46="PMO Pending")), "MSS Need Send",
   TRUE, "Waiting Approval"
)</f>
        <v>Waiting Approval</v>
      </c>
      <c r="O46" t="str" cm="1">
        <f t="array" ref="O46">_xlfn.IFS(
   OR(M46="Cancel", M46="Canceled", M46="Reject", M46="Rejected", K46="Cancel", K46="Canceled", K46="Reject", K46="Rejected", L46="Cancel", L46="Canceled", L46="Reject", L46="Rejected"), "Cancel / Rejected",
   AND(OR(J46="Perbaikan_Asset"), OR(M46="KSO Pending")), "KSO Need Send",
   TRUE, "Waiting Approval"
)</f>
        <v>Waiting Approval</v>
      </c>
      <c r="Q46" t="str" cm="1">
        <f t="array" ref="Q46">_xlfn.IFS(
   OR(M46="Cancel", M46="Canceled", M46="Reject", M46="Rejected", K46="Cancel", K46="Canceled", K46="Reject", K46="Rejected", L46="Cancel", L46="Canceled", L46="Reject", L46="Rejected"), "Cancel / Rejected",
   P46&lt;&gt;"", "MSS Done Send",
   N46="MSS Need Send", "MSS Need Send",
   TRUE, "Waiting Approval"
)</f>
        <v>Waiting Approval</v>
      </c>
      <c r="S46" t="str" cm="1">
        <f t="array" ref="S46">_xlfn.IFS(
   OR(M46="Cancel", M46="Canceled", M46="Reject", M46="Rejected", K46="Cancel", K46="Canceled", K46="Reject", K46="Rejected", L46="Cancel", L46="Canceled", L46="Reject", L46="Rejected"), "Cancel / Rejected",
   R46&lt;&gt;"", "KSO Done Send",
   Q46="MSS Need Send", "MSS Need Send",
   O46="KSO Need Send", "KSO Need Send",
   TRUE, "Waiting Approval"
)</f>
        <v>Waiting Approval</v>
      </c>
    </row>
    <row r="47" spans="1:19" x14ac:dyDescent="0.25">
      <c r="A47" s="1" t="s">
        <v>204</v>
      </c>
      <c r="B47" s="1" t="s">
        <v>95</v>
      </c>
      <c r="C47" t="str">
        <f>_xlfn.XLOOKUP(B47,Engpar!A:A,Engpar!C:C)</f>
        <v>TUMBANG SALUANG</v>
      </c>
      <c r="D47" t="str">
        <f>_xlfn.XLOOKUP(B47,Engpar!A:A,Engpar!F:F)</f>
        <v>KALIMANTAN TENGAH</v>
      </c>
      <c r="E47" t="str">
        <f>_xlfn.XLOOKUP(B47,Engpar!A:A,Engpar!G:G)</f>
        <v>KOTAWARINGIN TIMUR</v>
      </c>
      <c r="F47">
        <f>_xlfn.XLOOKUP(B47,Engpar!A:A,Engpar!J:J)</f>
        <v>-1.5667</v>
      </c>
      <c r="G47">
        <f>_xlfn.XLOOKUP(B47,Engpar!A:A,Engpar!K:K)</f>
        <v>112.26349999999999</v>
      </c>
      <c r="H47" t="str">
        <f>_xlfn.XLOOKUP(A47,Claim!C:C,Claim!I:I)</f>
        <v>INVERTER 300 W</v>
      </c>
      <c r="I47">
        <f>_xlfn.XLOOKUP(A47,Claim!C:C,Claim!J:J)</f>
        <v>1</v>
      </c>
      <c r="J47" t="str">
        <f>_xlfn.XLOOKUP(A47,Claim!C:C,Claim!M:M)</f>
        <v>REQUEST_GARANSI</v>
      </c>
      <c r="K47" t="str">
        <f>_xlfn.XLOOKUP(A47,Claim!C:C,Claim!O:O)</f>
        <v>Approved</v>
      </c>
      <c r="L47" t="str">
        <f>_xlfn.XLOOKUP(A47,Claim!C:C,Claim!P:P)</f>
        <v>MSS Pending Form</v>
      </c>
      <c r="M47" t="str">
        <f>_xlfn.XLOOKUP(A47,Claim!C:C,Claim!Q:Q)</f>
        <v>-</v>
      </c>
      <c r="N47" t="str" cm="1">
        <f t="array" ref="N47">_xlfn.IFS(
   OR(L47="Cancel", L47="Canceled", L47="Reject", L47="Rejected"), "Cancel / Rejected",
   AND(OR(J47="Request_Garansi", J47="Perbaikan_Asset"), OR(L47="Approved", L47="PMO Pending")), "MSS Need Send",
   TRUE, "Waiting Approval"
)</f>
        <v>Waiting Approval</v>
      </c>
      <c r="O47" t="str" cm="1">
        <f t="array" ref="O47">_xlfn.IFS(
   OR(M47="Cancel", M47="Canceled", M47="Reject", M47="Rejected", K47="Cancel", K47="Canceled", K47="Reject", K47="Rejected", L47="Cancel", L47="Canceled", L47="Reject", L47="Rejected"), "Cancel / Rejected",
   AND(OR(J47="Perbaikan_Asset"), OR(M47="KSO Pending")), "KSO Need Send",
   TRUE, "Waiting Approval"
)</f>
        <v>Waiting Approval</v>
      </c>
      <c r="P47" t="s">
        <v>1406</v>
      </c>
      <c r="Q47" t="str" cm="1">
        <f t="array" ref="Q47">_xlfn.IFS(
   OR(M47="Cancel", M47="Canceled", M47="Reject", M47="Rejected", K47="Cancel", K47="Canceled", K47="Reject", K47="Rejected", L47="Cancel", L47="Canceled", L47="Reject", L47="Rejected"), "Cancel / Rejected",
   P47&lt;&gt;"", "MSS Done Send",
   N47="MSS Need Send", "MSS Need Send",
   TRUE, "Waiting Approval"
)</f>
        <v>MSS Done Send</v>
      </c>
      <c r="S47" t="str" cm="1">
        <f t="array" ref="S47">_xlfn.IFS(
   OR(M47="Cancel", M47="Canceled", M47="Reject", M47="Rejected", K47="Cancel", K47="Canceled", K47="Reject", K47="Rejected", L47="Cancel", L47="Canceled", L47="Reject", L47="Rejected"), "Cancel / Rejected",
   R47&lt;&gt;"", "KSO Done Send",
   Q47="MSS Need Send", "MSS Need Send",
   O47="KSO Need Send", "KSO Need Send",
   TRUE, "Waiting Approval"
)</f>
        <v>Waiting Approval</v>
      </c>
    </row>
    <row r="48" spans="1:19" x14ac:dyDescent="0.25">
      <c r="A48" s="1" t="s">
        <v>207</v>
      </c>
      <c r="B48" s="1" t="s">
        <v>206</v>
      </c>
      <c r="C48" t="str">
        <f>_xlfn.XLOOKUP(B48,Engpar!A:A,Engpar!C:C)</f>
        <v>TELUK SUMBANG</v>
      </c>
      <c r="D48" t="str">
        <f>_xlfn.XLOOKUP(B48,Engpar!A:A,Engpar!F:F)</f>
        <v>KALIMANTAN TIMUR</v>
      </c>
      <c r="E48" t="str">
        <f>_xlfn.XLOOKUP(B48,Engpar!A:A,Engpar!G:G)</f>
        <v>BERAU</v>
      </c>
      <c r="F48">
        <f>_xlfn.XLOOKUP(B48,Engpar!A:A,Engpar!J:J)</f>
        <v>1.05237</v>
      </c>
      <c r="G48">
        <f>_xlfn.XLOOKUP(B48,Engpar!A:A,Engpar!K:K)</f>
        <v>118.83427</v>
      </c>
      <c r="H48" t="str">
        <f>_xlfn.XLOOKUP(A48,Claim!C:C,Claim!I:I)</f>
        <v>YARD LAMP</v>
      </c>
      <c r="I48">
        <f>_xlfn.XLOOKUP(A48,Claim!C:C,Claim!J:J)</f>
        <v>1</v>
      </c>
      <c r="J48" t="str">
        <f>_xlfn.XLOOKUP(A48,Claim!C:C,Claim!M:M)</f>
        <v>PRE_APPROVAL</v>
      </c>
      <c r="K48" t="str">
        <f>_xlfn.XLOOKUP(A48,Claim!C:C,Claim!O:O)</f>
        <v>Rejected</v>
      </c>
      <c r="L48" t="str">
        <f>_xlfn.XLOOKUP(A48,Claim!C:C,Claim!P:P)</f>
        <v>-</v>
      </c>
      <c r="M48" t="str">
        <f>_xlfn.XLOOKUP(A48,Claim!C:C,Claim!Q:Q)</f>
        <v>-</v>
      </c>
      <c r="N48" t="str" cm="1">
        <f t="array" ref="N48">_xlfn.IFS(
   OR(L48="Cancel", L48="Canceled", L48="Reject", L48="Rejected"), "Cancel / Rejected",
   AND(OR(J48="Request_Garansi", J48="Perbaikan_Asset"), OR(L48="Approved", L48="PMO Pending")), "MSS Need Send",
   TRUE, "Waiting Approval"
)</f>
        <v>Waiting Approval</v>
      </c>
      <c r="O48" t="str" cm="1">
        <f t="array" ref="O48">_xlfn.IFS(
   OR(M48="Cancel", M48="Canceled", M48="Reject", M48="Rejected", K48="Cancel", K48="Canceled", K48="Reject", K48="Rejected", L48="Cancel", L48="Canceled", L48="Reject", L48="Rejected"), "Cancel / Rejected",
   AND(OR(J48="Perbaikan_Asset"), OR(M48="KSO Pending")), "KSO Need Send",
   TRUE, "Waiting Approval"
)</f>
        <v>Cancel / Rejected</v>
      </c>
      <c r="Q48" t="str" cm="1">
        <f t="array" ref="Q48">_xlfn.IFS(
   OR(M48="Cancel", M48="Canceled", M48="Reject", M48="Rejected", K48="Cancel", K48="Canceled", K48="Reject", K48="Rejected", L48="Cancel", L48="Canceled", L48="Reject", L48="Rejected"), "Cancel / Rejected",
   P48&lt;&gt;"", "MSS Done Send",
   N48="MSS Need Send", "MSS Need Send",
   TRUE, "Waiting Approval"
)</f>
        <v>Cancel / Rejected</v>
      </c>
      <c r="S48" t="str" cm="1">
        <f t="array" ref="S48">_xlfn.IFS(
   OR(M48="Cancel", M48="Canceled", M48="Reject", M48="Rejected", K48="Cancel", K48="Canceled", K48="Reject", K48="Rejected", L48="Cancel", L48="Canceled", L48="Reject", L48="Rejected"), "Cancel / Rejected",
   R48&lt;&gt;"", "KSO Done Send",
   Q48="MSS Need Send", "MSS Need Send",
   O48="KSO Need Send", "KSO Need Send",
   TRUE, "Waiting Approval"
)</f>
        <v>Cancel / Rejected</v>
      </c>
    </row>
    <row r="49" spans="1:19" x14ac:dyDescent="0.25">
      <c r="A49" s="1" t="s">
        <v>210</v>
      </c>
      <c r="B49" s="1" t="s">
        <v>95</v>
      </c>
      <c r="C49" t="str">
        <f>_xlfn.XLOOKUP(B49,Engpar!A:A,Engpar!C:C)</f>
        <v>TUMBANG SALUANG</v>
      </c>
      <c r="D49" t="str">
        <f>_xlfn.XLOOKUP(B49,Engpar!A:A,Engpar!F:F)</f>
        <v>KALIMANTAN TENGAH</v>
      </c>
      <c r="E49" t="str">
        <f>_xlfn.XLOOKUP(B49,Engpar!A:A,Engpar!G:G)</f>
        <v>KOTAWARINGIN TIMUR</v>
      </c>
      <c r="F49">
        <f>_xlfn.XLOOKUP(B49,Engpar!A:A,Engpar!J:J)</f>
        <v>-1.5667</v>
      </c>
      <c r="G49">
        <f>_xlfn.XLOOKUP(B49,Engpar!A:A,Engpar!K:K)</f>
        <v>112.26349999999999</v>
      </c>
      <c r="H49" t="str">
        <f>_xlfn.XLOOKUP(A49,Claim!C:C,Claim!I:I)</f>
        <v>BATERAI</v>
      </c>
      <c r="I49">
        <f>_xlfn.XLOOKUP(A49,Claim!C:C,Claim!J:J)</f>
        <v>2</v>
      </c>
      <c r="J49" t="str">
        <f>_xlfn.XLOOKUP(A49,Claim!C:C,Claim!M:M)</f>
        <v>REQUEST_GARANSI</v>
      </c>
      <c r="K49" t="str">
        <f>_xlfn.XLOOKUP(A49,Claim!C:C,Claim!O:O)</f>
        <v>Approved</v>
      </c>
      <c r="L49" t="str">
        <f>_xlfn.XLOOKUP(A49,Claim!C:C,Claim!P:P)</f>
        <v>MSS Pending Form</v>
      </c>
      <c r="M49" t="str">
        <f>_xlfn.XLOOKUP(A49,Claim!C:C,Claim!Q:Q)</f>
        <v>-</v>
      </c>
      <c r="N49" t="str" cm="1">
        <f t="array" ref="N49">_xlfn.IFS(
   OR(L49="Cancel", L49="Canceled", L49="Reject", L49="Rejected"), "Cancel / Rejected",
   AND(OR(J49="Request_Garansi", J49="Perbaikan_Asset"), OR(L49="Approved", L49="PMO Pending")), "MSS Need Send",
   TRUE, "Waiting Approval"
)</f>
        <v>Waiting Approval</v>
      </c>
      <c r="O49" t="str" cm="1">
        <f t="array" ref="O49">_xlfn.IFS(
   OR(M49="Cancel", M49="Canceled", M49="Reject", M49="Rejected", K49="Cancel", K49="Canceled", K49="Reject", K49="Rejected", L49="Cancel", L49="Canceled", L49="Reject", L49="Rejected"), "Cancel / Rejected",
   AND(OR(J49="Perbaikan_Asset"), OR(M49="KSO Pending")), "KSO Need Send",
   TRUE, "Waiting Approval"
)</f>
        <v>Waiting Approval</v>
      </c>
      <c r="Q49" t="str" cm="1">
        <f t="array" ref="Q49">_xlfn.IFS(
   OR(M49="Cancel", M49="Canceled", M49="Reject", M49="Rejected", K49="Cancel", K49="Canceled", K49="Reject", K49="Rejected", L49="Cancel", L49="Canceled", L49="Reject", L49="Rejected"), "Cancel / Rejected",
   P49&lt;&gt;"", "MSS Done Send",
   N49="MSS Need Send", "MSS Need Send",
   TRUE, "Waiting Approval"
)</f>
        <v>Waiting Approval</v>
      </c>
      <c r="S49" t="str" cm="1">
        <f t="array" ref="S49">_xlfn.IFS(
   OR(M49="Cancel", M49="Canceled", M49="Reject", M49="Rejected", K49="Cancel", K49="Canceled", K49="Reject", K49="Rejected", L49="Cancel", L49="Canceled", L49="Reject", L49="Rejected"), "Cancel / Rejected",
   R49&lt;&gt;"", "KSO Done Send",
   Q49="MSS Need Send", "MSS Need Send",
   O49="KSO Need Send", "KSO Need Send",
   TRUE, "Waiting Approval"
)</f>
        <v>Waiting Approval</v>
      </c>
    </row>
    <row r="50" spans="1:19" x14ac:dyDescent="0.25">
      <c r="A50" s="1" t="s">
        <v>213</v>
      </c>
      <c r="B50" s="1" t="s">
        <v>212</v>
      </c>
      <c r="C50" t="str">
        <f>_xlfn.XLOOKUP(B50,Engpar!A:A,Engpar!C:C)</f>
        <v>TUMBANG SETOLI</v>
      </c>
      <c r="D50" t="str">
        <f>_xlfn.XLOOKUP(B50,Engpar!A:A,Engpar!F:F)</f>
        <v>KALIMANTAN TENGAH</v>
      </c>
      <c r="E50" t="str">
        <f>_xlfn.XLOOKUP(B50,Engpar!A:A,Engpar!G:G)</f>
        <v>SERUYAN</v>
      </c>
      <c r="F50">
        <f>_xlfn.XLOOKUP(B50,Engpar!A:A,Engpar!J:J)</f>
        <v>-1.2774399999999999</v>
      </c>
      <c r="G50">
        <f>_xlfn.XLOOKUP(B50,Engpar!A:A,Engpar!K:K)</f>
        <v>111.67767000000001</v>
      </c>
      <c r="H50" t="str">
        <f>_xlfn.XLOOKUP(A50,Claim!C:C,Claim!I:I)</f>
        <v>BATERAI</v>
      </c>
      <c r="I50">
        <f>_xlfn.XLOOKUP(A50,Claim!C:C,Claim!J:J)</f>
        <v>1</v>
      </c>
      <c r="J50" t="str">
        <f>_xlfn.XLOOKUP(A50,Claim!C:C,Claim!M:M)</f>
        <v>REQUEST_GARANSI</v>
      </c>
      <c r="K50" t="str">
        <f>_xlfn.XLOOKUP(A50,Claim!C:C,Claim!O:O)</f>
        <v>Approved</v>
      </c>
      <c r="L50" t="str">
        <f>_xlfn.XLOOKUP(A50,Claim!C:C,Claim!P:P)</f>
        <v>MSS Pending Form</v>
      </c>
      <c r="M50" t="str">
        <f>_xlfn.XLOOKUP(A50,Claim!C:C,Claim!Q:Q)</f>
        <v>-</v>
      </c>
      <c r="N50" t="str" cm="1">
        <f t="array" ref="N50">_xlfn.IFS(
   OR(L50="Cancel", L50="Canceled", L50="Reject", L50="Rejected"), "Cancel / Rejected",
   AND(OR(J50="Request_Garansi", J50="Perbaikan_Asset"), OR(L50="Approved", L50="PMO Pending")), "MSS Need Send",
   TRUE, "Waiting Approval"
)</f>
        <v>Waiting Approval</v>
      </c>
      <c r="O50" t="str" cm="1">
        <f t="array" ref="O50">_xlfn.IFS(
   OR(M50="Cancel", M50="Canceled", M50="Reject", M50="Rejected", K50="Cancel", K50="Canceled", K50="Reject", K50="Rejected", L50="Cancel", L50="Canceled", L50="Reject", L50="Rejected"), "Cancel / Rejected",
   AND(OR(J50="Perbaikan_Asset"), OR(M50="KSO Pending")), "KSO Need Send",
   TRUE, "Waiting Approval"
)</f>
        <v>Waiting Approval</v>
      </c>
      <c r="P50" t="s">
        <v>1407</v>
      </c>
      <c r="Q50" t="str" cm="1">
        <f t="array" ref="Q50">_xlfn.IFS(
   OR(M50="Cancel", M50="Canceled", M50="Reject", M50="Rejected", K50="Cancel", K50="Canceled", K50="Reject", K50="Rejected", L50="Cancel", L50="Canceled", L50="Reject", L50="Rejected"), "Cancel / Rejected",
   P50&lt;&gt;"", "MSS Done Send",
   N50="MSS Need Send", "MSS Need Send",
   TRUE, "Waiting Approval"
)</f>
        <v>MSS Done Send</v>
      </c>
      <c r="S50" t="str" cm="1">
        <f t="array" ref="S50">_xlfn.IFS(
   OR(M50="Cancel", M50="Canceled", M50="Reject", M50="Rejected", K50="Cancel", K50="Canceled", K50="Reject", K50="Rejected", L50="Cancel", L50="Canceled", L50="Reject", L50="Rejected"), "Cancel / Rejected",
   R50&lt;&gt;"", "KSO Done Send",
   Q50="MSS Need Send", "MSS Need Send",
   O50="KSO Need Send", "KSO Need Send",
   TRUE, "Waiting Approval"
)</f>
        <v>Waiting Approval</v>
      </c>
    </row>
    <row r="51" spans="1:19" x14ac:dyDescent="0.25">
      <c r="A51" s="1" t="s">
        <v>215</v>
      </c>
      <c r="B51" s="1" t="s">
        <v>176</v>
      </c>
      <c r="C51" t="str">
        <f>_xlfn.XLOOKUP(B51,Engpar!A:A,Engpar!C:C)</f>
        <v>TADO'AN</v>
      </c>
      <c r="D51" t="str">
        <f>_xlfn.XLOOKUP(B51,Engpar!A:A,Engpar!F:F)</f>
        <v>KALIMANTAN TIMUR</v>
      </c>
      <c r="E51" t="str">
        <f>_xlfn.XLOOKUP(B51,Engpar!A:A,Engpar!G:G)</f>
        <v>KUTAI TIMUR</v>
      </c>
      <c r="F51">
        <f>_xlfn.XLOOKUP(B51,Engpar!A:A,Engpar!J:J)</f>
        <v>0.9899</v>
      </c>
      <c r="G51">
        <f>_xlfn.XLOOKUP(B51,Engpar!A:A,Engpar!K:K)</f>
        <v>118.54745</v>
      </c>
      <c r="H51" t="str">
        <f>_xlfn.XLOOKUP(A51,Claim!C:C,Claim!I:I)</f>
        <v>INVERTER 300 W</v>
      </c>
      <c r="I51">
        <f>_xlfn.XLOOKUP(A51,Claim!C:C,Claim!J:J)</f>
        <v>1</v>
      </c>
      <c r="J51" t="str">
        <f>_xlfn.XLOOKUP(A51,Claim!C:C,Claim!M:M)</f>
        <v>REQUEST_GARANSI</v>
      </c>
      <c r="K51" t="str">
        <f>_xlfn.XLOOKUP(A51,Claim!C:C,Claim!O:O)</f>
        <v>Approved</v>
      </c>
      <c r="L51" t="str">
        <f>_xlfn.XLOOKUP(A51,Claim!C:C,Claim!P:P)</f>
        <v>MSS Pending Form</v>
      </c>
      <c r="M51" t="str">
        <f>_xlfn.XLOOKUP(A51,Claim!C:C,Claim!Q:Q)</f>
        <v>-</v>
      </c>
      <c r="N51" t="str" cm="1">
        <f t="array" ref="N51">_xlfn.IFS(
   OR(L51="Cancel", L51="Canceled", L51="Reject", L51="Rejected"), "Cancel / Rejected",
   AND(OR(J51="Request_Garansi", J51="Perbaikan_Asset"), OR(L51="Approved", L51="PMO Pending")), "MSS Need Send",
   TRUE, "Waiting Approval"
)</f>
        <v>Waiting Approval</v>
      </c>
      <c r="O51" t="str" cm="1">
        <f t="array" ref="O51">_xlfn.IFS(
   OR(M51="Cancel", M51="Canceled", M51="Reject", M51="Rejected", K51="Cancel", K51="Canceled", K51="Reject", K51="Rejected", L51="Cancel", L51="Canceled", L51="Reject", L51="Rejected"), "Cancel / Rejected",
   AND(OR(J51="Perbaikan_Asset"), OR(M51="KSO Pending")), "KSO Need Send",
   TRUE, "Waiting Approval"
)</f>
        <v>Waiting Approval</v>
      </c>
      <c r="P51" t="s">
        <v>1407</v>
      </c>
      <c r="Q51" t="str" cm="1">
        <f t="array" ref="Q51">_xlfn.IFS(
   OR(M51="Cancel", M51="Canceled", M51="Reject", M51="Rejected", K51="Cancel", K51="Canceled", K51="Reject", K51="Rejected", L51="Cancel", L51="Canceled", L51="Reject", L51="Rejected"), "Cancel / Rejected",
   P51&lt;&gt;"", "MSS Done Send",
   N51="MSS Need Send", "MSS Need Send",
   TRUE, "Waiting Approval"
)</f>
        <v>MSS Done Send</v>
      </c>
      <c r="S51" t="str" cm="1">
        <f t="array" ref="S51">_xlfn.IFS(
   OR(M51="Cancel", M51="Canceled", M51="Reject", M51="Rejected", K51="Cancel", K51="Canceled", K51="Reject", K51="Rejected", L51="Cancel", L51="Canceled", L51="Reject", L51="Rejected"), "Cancel / Rejected",
   R51&lt;&gt;"", "KSO Done Send",
   Q51="MSS Need Send", "MSS Need Send",
   O51="KSO Need Send", "KSO Need Send",
   TRUE, "Waiting Approval"
)</f>
        <v>Waiting Approval</v>
      </c>
    </row>
    <row r="52" spans="1:19" x14ac:dyDescent="0.25">
      <c r="A52" s="1" t="s">
        <v>218</v>
      </c>
      <c r="B52" s="1" t="s">
        <v>217</v>
      </c>
      <c r="C52" t="str">
        <f>_xlfn.XLOOKUP(B52,Engpar!A:A,Engpar!C:C)</f>
        <v>DURIAN TUNGGAL</v>
      </c>
      <c r="D52" t="str">
        <f>_xlfn.XLOOKUP(B52,Engpar!A:A,Engpar!F:F)</f>
        <v>KALIMANTAN TENGAH</v>
      </c>
      <c r="E52" t="str">
        <f>_xlfn.XLOOKUP(B52,Engpar!A:A,Engpar!G:G)</f>
        <v>SERUYAN</v>
      </c>
      <c r="F52">
        <f>_xlfn.XLOOKUP(B52,Engpar!A:A,Engpar!J:J)</f>
        <v>-1.9491499999999999</v>
      </c>
      <c r="G52">
        <f>_xlfn.XLOOKUP(B52,Engpar!A:A,Engpar!K:K)</f>
        <v>112.14937</v>
      </c>
      <c r="H52" t="str">
        <f>_xlfn.XLOOKUP(A52,Claim!C:C,Claim!I:I)</f>
        <v>BATERAI</v>
      </c>
      <c r="I52">
        <f>_xlfn.XLOOKUP(A52,Claim!C:C,Claim!J:J)</f>
        <v>3</v>
      </c>
      <c r="J52" t="str">
        <f>_xlfn.XLOOKUP(A52,Claim!C:C,Claim!M:M)</f>
        <v>PRE_APPROVAL</v>
      </c>
      <c r="K52" t="str">
        <f>_xlfn.XLOOKUP(A52,Claim!C:C,Claim!O:O)</f>
        <v>KSO Pending</v>
      </c>
      <c r="L52" t="str">
        <f>_xlfn.XLOOKUP(A52,Claim!C:C,Claim!P:P)</f>
        <v>-</v>
      </c>
      <c r="M52" t="str">
        <f>_xlfn.XLOOKUP(A52,Claim!C:C,Claim!Q:Q)</f>
        <v>-</v>
      </c>
      <c r="N52" t="str" cm="1">
        <f t="array" ref="N52">_xlfn.IFS(
   OR(L52="Cancel", L52="Canceled", L52="Reject", L52="Rejected"), "Cancel / Rejected",
   AND(OR(J52="Request_Garansi", J52="Perbaikan_Asset"), OR(L52="Approved", L52="PMO Pending")), "MSS Need Send",
   TRUE, "Waiting Approval"
)</f>
        <v>Waiting Approval</v>
      </c>
      <c r="O52" t="str" cm="1">
        <f t="array" ref="O52">_xlfn.IFS(
   OR(M52="Cancel", M52="Canceled", M52="Reject", M52="Rejected", K52="Cancel", K52="Canceled", K52="Reject", K52="Rejected", L52="Cancel", L52="Canceled", L52="Reject", L52="Rejected"), "Cancel / Rejected",
   AND(OR(J52="Perbaikan_Asset"), OR(M52="KSO Pending")), "KSO Need Send",
   TRUE, "Waiting Approval"
)</f>
        <v>Waiting Approval</v>
      </c>
      <c r="P52" t="s">
        <v>1404</v>
      </c>
      <c r="Q52" t="str" cm="1">
        <f t="array" ref="Q52">_xlfn.IFS(
   OR(M52="Cancel", M52="Canceled", M52="Reject", M52="Rejected", K52="Cancel", K52="Canceled", K52="Reject", K52="Rejected", L52="Cancel", L52="Canceled", L52="Reject", L52="Rejected"), "Cancel / Rejected",
   P52&lt;&gt;"", "MSS Done Send",
   N52="MSS Need Send", "MSS Need Send",
   TRUE, "Waiting Approval"
)</f>
        <v>MSS Done Send</v>
      </c>
      <c r="R52" s="8">
        <v>46308</v>
      </c>
      <c r="S52" t="str" cm="1">
        <f t="array" ref="S52">_xlfn.IFS(
   OR(M52="Cancel", M52="Canceled", M52="Reject", M52="Rejected", K52="Cancel", K52="Canceled", K52="Reject", K52="Rejected", L52="Cancel", L52="Canceled", L52="Reject", L52="Rejected"), "Cancel / Rejected",
   R52&lt;&gt;"", "KSO Done Send",
   Q52="MSS Need Send", "MSS Need Send",
   O52="KSO Need Send", "KSO Need Send",
   TRUE, "Waiting Approval"
)</f>
        <v>KSO Done Send</v>
      </c>
    </row>
    <row r="53" spans="1:19" x14ac:dyDescent="0.25">
      <c r="A53" s="1" t="s">
        <v>220</v>
      </c>
      <c r="B53" s="1" t="s">
        <v>217</v>
      </c>
      <c r="C53" t="str">
        <f>_xlfn.XLOOKUP(B53,Engpar!A:A,Engpar!C:C)</f>
        <v>DURIAN TUNGGAL</v>
      </c>
      <c r="D53" t="str">
        <f>_xlfn.XLOOKUP(B53,Engpar!A:A,Engpar!F:F)</f>
        <v>KALIMANTAN TENGAH</v>
      </c>
      <c r="E53" t="str">
        <f>_xlfn.XLOOKUP(B53,Engpar!A:A,Engpar!G:G)</f>
        <v>SERUYAN</v>
      </c>
      <c r="F53">
        <f>_xlfn.XLOOKUP(B53,Engpar!A:A,Engpar!J:J)</f>
        <v>-1.9491499999999999</v>
      </c>
      <c r="G53">
        <f>_xlfn.XLOOKUP(B53,Engpar!A:A,Engpar!K:K)</f>
        <v>112.14937</v>
      </c>
      <c r="H53" t="str">
        <f>_xlfn.XLOOKUP(A53,Claim!C:C,Claim!I:I)</f>
        <v>INVERTER 300 W</v>
      </c>
      <c r="I53">
        <f>_xlfn.XLOOKUP(A53,Claim!C:C,Claim!J:J)</f>
        <v>1</v>
      </c>
      <c r="J53" t="str">
        <f>_xlfn.XLOOKUP(A53,Claim!C:C,Claim!M:M)</f>
        <v>REQUEST_GARANSI</v>
      </c>
      <c r="K53" t="str">
        <f>_xlfn.XLOOKUP(A53,Claim!C:C,Claim!O:O)</f>
        <v>Approved</v>
      </c>
      <c r="L53" t="str">
        <f>_xlfn.XLOOKUP(A53,Claim!C:C,Claim!P:P)</f>
        <v>MSS Pending Form</v>
      </c>
      <c r="M53" t="str">
        <f>_xlfn.XLOOKUP(A53,Claim!C:C,Claim!Q:Q)</f>
        <v>-</v>
      </c>
      <c r="N53" t="str" cm="1">
        <f t="array" ref="N53">_xlfn.IFS(
   OR(L53="Cancel", L53="Canceled", L53="Reject", L53="Rejected"), "Cancel / Rejected",
   AND(OR(J53="Request_Garansi", J53="Perbaikan_Asset"), OR(L53="Approved", L53="PMO Pending")), "MSS Need Send",
   TRUE, "Waiting Approval"
)</f>
        <v>Waiting Approval</v>
      </c>
      <c r="O53" t="str" cm="1">
        <f t="array" ref="O53">_xlfn.IFS(
   OR(M53="Cancel", M53="Canceled", M53="Reject", M53="Rejected", K53="Cancel", K53="Canceled", K53="Reject", K53="Rejected", L53="Cancel", L53="Canceled", L53="Reject", L53="Rejected"), "Cancel / Rejected",
   AND(OR(J53="Perbaikan_Asset"), OR(M53="KSO Pending")), "KSO Need Send",
   TRUE, "Waiting Approval"
)</f>
        <v>Waiting Approval</v>
      </c>
      <c r="Q53" t="str" cm="1">
        <f t="array" ref="Q53">_xlfn.IFS(
   OR(M53="Cancel", M53="Canceled", M53="Reject", M53="Rejected", K53="Cancel", K53="Canceled", K53="Reject", K53="Rejected", L53="Cancel", L53="Canceled", L53="Reject", L53="Rejected"), "Cancel / Rejected",
   P53&lt;&gt;"", "MSS Done Send",
   N53="MSS Need Send", "MSS Need Send",
   TRUE, "Waiting Approval"
)</f>
        <v>Waiting Approval</v>
      </c>
      <c r="S53" t="str" cm="1">
        <f t="array" ref="S53">_xlfn.IFS(
   OR(M53="Cancel", M53="Canceled", M53="Reject", M53="Rejected", K53="Cancel", K53="Canceled", K53="Reject", K53="Rejected", L53="Cancel", L53="Canceled", L53="Reject", L53="Rejected"), "Cancel / Rejected",
   R53&lt;&gt;"", "KSO Done Send",
   Q53="MSS Need Send", "MSS Need Send",
   O53="KSO Need Send", "KSO Need Send",
   TRUE, "Waiting Approval"
)</f>
        <v>Waiting Approval</v>
      </c>
    </row>
    <row r="54" spans="1:19" x14ac:dyDescent="0.25">
      <c r="A54" s="1" t="s">
        <v>20</v>
      </c>
      <c r="B54" s="1" t="s">
        <v>19</v>
      </c>
      <c r="C54" t="str">
        <f>_xlfn.XLOOKUP(B54,Engpar!A:A,Engpar!C:C)</f>
        <v>SEBULUH</v>
      </c>
      <c r="D54" t="str">
        <f>_xlfn.XLOOKUP(B54,Engpar!A:A,Engpar!F:F)</f>
        <v>KALIMANTAN BARAT</v>
      </c>
      <c r="E54" t="str">
        <f>_xlfn.XLOOKUP(B54,Engpar!A:A,Engpar!G:G)</f>
        <v>SINTANG</v>
      </c>
      <c r="F54">
        <f>_xlfn.XLOOKUP(B54,Engpar!A:A,Engpar!J:J)</f>
        <v>0.94313000000000002</v>
      </c>
      <c r="G54">
        <f>_xlfn.XLOOKUP(B54,Engpar!A:A,Engpar!K:K)</f>
        <v>111.09341000000001</v>
      </c>
      <c r="H54" t="str">
        <f>_xlfn.XLOOKUP(A54,Claim!C:C,Claim!I:I)</f>
        <v>MODEM</v>
      </c>
      <c r="I54">
        <f>_xlfn.XLOOKUP(A54,Claim!C:C,Claim!J:J)</f>
        <v>1</v>
      </c>
      <c r="J54" t="str">
        <f>_xlfn.XLOOKUP(A54,Claim!C:C,Claim!M:M)</f>
        <v>PERBAIKAN_ASSET</v>
      </c>
      <c r="K54" t="str">
        <f>_xlfn.XLOOKUP(A54,Claim!C:C,Claim!O:O)</f>
        <v>Approved</v>
      </c>
      <c r="L54" t="str">
        <f>_xlfn.XLOOKUP(A54,Claim!C:C,Claim!P:P)</f>
        <v>Approved</v>
      </c>
      <c r="M54" t="str">
        <f>_xlfn.XLOOKUP(A54,Claim!C:C,Claim!Q:Q)</f>
        <v>MSS Pending Form</v>
      </c>
      <c r="N54" t="str" cm="1">
        <f t="array" ref="N54">_xlfn.IFS(
   OR(L54="Cancel", L54="Canceled", L54="Reject", L54="Rejected"), "Cancel / Rejected",
   AND(OR(J54="Request_Garansi", J54="Perbaikan_Asset"), OR(L54="Approved", L54="PMO Pending")), "MSS Need Send",
   TRUE, "Waiting Approval"
)</f>
        <v>MSS Need Send</v>
      </c>
      <c r="O54" t="str" cm="1">
        <f t="array" ref="O54">_xlfn.IFS(
   OR(M54="Cancel", M54="Canceled", M54="Reject", M54="Rejected", K54="Cancel", K54="Canceled", K54="Reject", K54="Rejected", L54="Cancel", L54="Canceled", L54="Reject", L54="Rejected"), "Cancel / Rejected",
   AND(OR(J54="Perbaikan_Asset"), OR(M54="KSO Pending")), "KSO Need Send",
   TRUE, "Waiting Approval"
)</f>
        <v>Waiting Approval</v>
      </c>
      <c r="P54" t="s">
        <v>1408</v>
      </c>
      <c r="Q54" t="str" cm="1">
        <f t="array" ref="Q54">_xlfn.IFS(
   OR(M54="Cancel", M54="Canceled", M54="Reject", M54="Rejected", K54="Cancel", K54="Canceled", K54="Reject", K54="Rejected", L54="Cancel", L54="Canceled", L54="Reject", L54="Rejected"), "Cancel / Rejected",
   P54&lt;&gt;"", "MSS Done Send",
   N54="MSS Need Send", "MSS Need Send",
   TRUE, "Waiting Approval"
)</f>
        <v>MSS Done Send</v>
      </c>
      <c r="S54" t="str" cm="1">
        <f t="array" ref="S54">_xlfn.IFS(
   OR(M54="Cancel", M54="Canceled", M54="Reject", M54="Rejected", K54="Cancel", K54="Canceled", K54="Reject", K54="Rejected", L54="Cancel", L54="Canceled", L54="Reject", L54="Rejected"), "Cancel / Rejected",
   R54&lt;&gt;"", "KSO Done Send",
   Q54="MSS Need Send", "MSS Need Send",
   O54="KSO Need Send", "KSO Need Send",
   TRUE, "Waiting Approval"
)</f>
        <v>Waiting Approval</v>
      </c>
    </row>
    <row r="55" spans="1:19" x14ac:dyDescent="0.25">
      <c r="A55" s="1" t="s">
        <v>32</v>
      </c>
      <c r="B55" s="1" t="s">
        <v>31</v>
      </c>
      <c r="C55" t="str">
        <f>_xlfn.XLOOKUP(B55,Engpar!A:A,Engpar!C:C)</f>
        <v>BATU TIGA</v>
      </c>
      <c r="D55" t="str">
        <f>_xlfn.XLOOKUP(B55,Engpar!A:A,Engpar!F:F)</f>
        <v>KALIMANTAN BARAT</v>
      </c>
      <c r="E55" t="str">
        <f>_xlfn.XLOOKUP(B55,Engpar!A:A,Engpar!G:G)</f>
        <v>KAPUAS HULU</v>
      </c>
      <c r="F55">
        <f>_xlfn.XLOOKUP(B55,Engpar!A:A,Engpar!J:J)</f>
        <v>0.34076000000000001</v>
      </c>
      <c r="G55">
        <f>_xlfn.XLOOKUP(B55,Engpar!A:A,Engpar!K:K)</f>
        <v>112.98254</v>
      </c>
      <c r="H55" t="str">
        <f>_xlfn.XLOOKUP(A55,Claim!C:C,Claim!I:I)</f>
        <v>PERANGKAT SISTEM MONTORING ONLINE TERINTEGRASI</v>
      </c>
      <c r="I55">
        <f>_xlfn.XLOOKUP(A55,Claim!C:C,Claim!J:J)</f>
        <v>1</v>
      </c>
      <c r="J55" t="str">
        <f>_xlfn.XLOOKUP(A55,Claim!C:C,Claim!M:M)</f>
        <v>PERBAIKAN_ASSET</v>
      </c>
      <c r="K55" t="str">
        <f>_xlfn.XLOOKUP(A55,Claim!C:C,Claim!O:O)</f>
        <v>Approved</v>
      </c>
      <c r="L55" t="str">
        <f>_xlfn.XLOOKUP(A55,Claim!C:C,Claim!P:P)</f>
        <v>Approved</v>
      </c>
      <c r="M55" t="str">
        <f>_xlfn.XLOOKUP(A55,Claim!C:C,Claim!Q:Q)</f>
        <v>MSS Pending Form</v>
      </c>
      <c r="N55" t="str" cm="1">
        <f t="array" ref="N55">_xlfn.IFS(
   OR(L55="Cancel", L55="Canceled", L55="Reject", L55="Rejected"), "Cancel / Rejected",
   AND(OR(J55="Request_Garansi", J55="Perbaikan_Asset"), OR(L55="Approved", L55="PMO Pending")), "MSS Need Send",
   TRUE, "Waiting Approval"
)</f>
        <v>MSS Need Send</v>
      </c>
      <c r="O55" t="str" cm="1">
        <f t="array" ref="O55">_xlfn.IFS(
   OR(M55="Cancel", M55="Canceled", M55="Reject", M55="Rejected", K55="Cancel", K55="Canceled", K55="Reject", K55="Rejected", L55="Cancel", L55="Canceled", L55="Reject", L55="Rejected"), "Cancel / Rejected",
   AND(OR(J55="Perbaikan_Asset"), OR(M55="KSO Pending")), "KSO Need Send",
   TRUE, "Waiting Approval"
)</f>
        <v>Waiting Approval</v>
      </c>
      <c r="P55" t="s">
        <v>1404</v>
      </c>
      <c r="Q55" t="str" cm="1">
        <f t="array" ref="Q55">_xlfn.IFS(
   OR(M55="Cancel", M55="Canceled", M55="Reject", M55="Rejected", K55="Cancel", K55="Canceled", K55="Reject", K55="Rejected", L55="Cancel", L55="Canceled", L55="Reject", L55="Rejected"), "Cancel / Rejected",
   P55&lt;&gt;"", "MSS Done Send",
   N55="MSS Need Send", "MSS Need Send",
   TRUE, "Waiting Approval"
)</f>
        <v>MSS Done Send</v>
      </c>
      <c r="S55" t="str" cm="1">
        <f t="array" ref="S55">_xlfn.IFS(
   OR(M55="Cancel", M55="Canceled", M55="Reject", M55="Rejected", K55="Cancel", K55="Canceled", K55="Reject", K55="Rejected", L55="Cancel", L55="Canceled", L55="Reject", L55="Rejected"), "Cancel / Rejected",
   R55&lt;&gt;"", "KSO Done Send",
   Q55="MSS Need Send", "MSS Need Send",
   O55="KSO Need Send", "KSO Need Send",
   TRUE, "Waiting Approval"
)</f>
        <v>Waiting Approval</v>
      </c>
    </row>
    <row r="56" spans="1:19" x14ac:dyDescent="0.25">
      <c r="A56" s="1" t="s">
        <v>37</v>
      </c>
      <c r="B56" s="1" t="s">
        <v>36</v>
      </c>
      <c r="C56" t="str">
        <f>_xlfn.XLOOKUP(B56,Engpar!A:A,Engpar!C:C)</f>
        <v>TANJUNG MAJU</v>
      </c>
      <c r="D56" t="str">
        <f>_xlfn.XLOOKUP(B56,Engpar!A:A,Engpar!F:F)</f>
        <v>KALIMANTAN BARAT</v>
      </c>
      <c r="E56" t="str">
        <f>_xlfn.XLOOKUP(B56,Engpar!A:A,Engpar!G:G)</f>
        <v>KETAPANG</v>
      </c>
      <c r="F56">
        <f>_xlfn.XLOOKUP(B56,Engpar!A:A,Engpar!J:J)</f>
        <v>-0.71096999999999999</v>
      </c>
      <c r="G56">
        <f>_xlfn.XLOOKUP(B56,Engpar!A:A,Engpar!K:K)</f>
        <v>110.49149</v>
      </c>
      <c r="H56" t="str">
        <f>_xlfn.XLOOKUP(A56,Claim!C:C,Claim!I:I)</f>
        <v>Inverter 300W</v>
      </c>
      <c r="I56">
        <f>_xlfn.XLOOKUP(A56,Claim!C:C,Claim!J:J)</f>
        <v>1</v>
      </c>
      <c r="J56" t="str">
        <f>_xlfn.XLOOKUP(A56,Claim!C:C,Claim!M:M)</f>
        <v>PERBAIKAN_ASSET</v>
      </c>
      <c r="K56" t="str">
        <f>_xlfn.XLOOKUP(A56,Claim!C:C,Claim!O:O)</f>
        <v>Approved</v>
      </c>
      <c r="L56" t="str">
        <f>_xlfn.XLOOKUP(A56,Claim!C:C,Claim!P:P)</f>
        <v>Approved</v>
      </c>
      <c r="M56" t="str">
        <f>_xlfn.XLOOKUP(A56,Claim!C:C,Claim!Q:Q)</f>
        <v>MSS Pending Form</v>
      </c>
      <c r="N56" t="str" cm="1">
        <f t="array" ref="N56">_xlfn.IFS(
   OR(L56="Cancel", L56="Canceled", L56="Reject", L56="Rejected"), "Cancel / Rejected",
   AND(OR(J56="Request_Garansi", J56="Perbaikan_Asset"), OR(L56="Approved", L56="PMO Pending")), "MSS Need Send",
   TRUE, "Waiting Approval"
)</f>
        <v>MSS Need Send</v>
      </c>
      <c r="O56" t="str" cm="1">
        <f t="array" ref="O56">_xlfn.IFS(
   OR(M56="Cancel", M56="Canceled", M56="Reject", M56="Rejected", K56="Cancel", K56="Canceled", K56="Reject", K56="Rejected", L56="Cancel", L56="Canceled", L56="Reject", L56="Rejected"), "Cancel / Rejected",
   AND(OR(J56="Perbaikan_Asset"), OR(M56="KSO Pending")), "KSO Need Send",
   TRUE, "Waiting Approval"
)</f>
        <v>Waiting Approval</v>
      </c>
      <c r="P56" t="s">
        <v>1407</v>
      </c>
      <c r="Q56" t="str" cm="1">
        <f t="array" ref="Q56">_xlfn.IFS(
   OR(M56="Cancel", M56="Canceled", M56="Reject", M56="Rejected", K56="Cancel", K56="Canceled", K56="Reject", K56="Rejected", L56="Cancel", L56="Canceled", L56="Reject", L56="Rejected"), "Cancel / Rejected",
   P56&lt;&gt;"", "MSS Done Send",
   N56="MSS Need Send", "MSS Need Send",
   TRUE, "Waiting Approval"
)</f>
        <v>MSS Done Send</v>
      </c>
      <c r="R56" s="8">
        <v>46308</v>
      </c>
      <c r="S56" t="str" cm="1">
        <f t="array" ref="S56">_xlfn.IFS(
   OR(M56="Cancel", M56="Canceled", M56="Reject", M56="Rejected", K56="Cancel", K56="Canceled", K56="Reject", K56="Rejected", L56="Cancel", L56="Canceled", L56="Reject", L56="Rejected"), "Cancel / Rejected",
   R56&lt;&gt;"", "KSO Done Send",
   Q56="MSS Need Send", "MSS Need Send",
   O56="KSO Need Send", "KSO Need Send",
   TRUE, "Waiting Approval"
)</f>
        <v>KSO Done Send</v>
      </c>
    </row>
    <row r="57" spans="1:19" x14ac:dyDescent="0.25">
      <c r="A57" s="1" t="s">
        <v>40</v>
      </c>
      <c r="B57" s="1" t="s">
        <v>31</v>
      </c>
      <c r="C57" t="str">
        <f>_xlfn.XLOOKUP(B57,Engpar!A:A,Engpar!C:C)</f>
        <v>BATU TIGA</v>
      </c>
      <c r="D57" t="str">
        <f>_xlfn.XLOOKUP(B57,Engpar!A:A,Engpar!F:F)</f>
        <v>KALIMANTAN BARAT</v>
      </c>
      <c r="E57" t="str">
        <f>_xlfn.XLOOKUP(B57,Engpar!A:A,Engpar!G:G)</f>
        <v>KAPUAS HULU</v>
      </c>
      <c r="F57">
        <f>_xlfn.XLOOKUP(B57,Engpar!A:A,Engpar!J:J)</f>
        <v>0.34076000000000001</v>
      </c>
      <c r="G57">
        <f>_xlfn.XLOOKUP(B57,Engpar!A:A,Engpar!K:K)</f>
        <v>112.98254</v>
      </c>
      <c r="H57" t="str">
        <f>_xlfn.XLOOKUP(A57,Claim!C:C,Claim!I:I)</f>
        <v>BATERAI</v>
      </c>
      <c r="I57">
        <f>_xlfn.XLOOKUP(A57,Claim!C:C,Claim!J:J)</f>
        <v>2</v>
      </c>
      <c r="J57" t="str">
        <f>_xlfn.XLOOKUP(A57,Claim!C:C,Claim!M:M)</f>
        <v>PRE_APPROVAL</v>
      </c>
      <c r="K57" t="str">
        <f>_xlfn.XLOOKUP(A57,Claim!C:C,Claim!O:O)</f>
        <v>Rejected</v>
      </c>
      <c r="L57" t="str">
        <f>_xlfn.XLOOKUP(A57,Claim!C:C,Claim!P:P)</f>
        <v>-</v>
      </c>
      <c r="M57" t="str">
        <f>_xlfn.XLOOKUP(A57,Claim!C:C,Claim!Q:Q)</f>
        <v>-</v>
      </c>
      <c r="N57" t="str" cm="1">
        <f t="array" ref="N57">_xlfn.IFS(
   OR(L57="Cancel", L57="Canceled", L57="Reject", L57="Rejected"), "Cancel / Rejected",
   AND(OR(J57="Request_Garansi", J57="Perbaikan_Asset"), OR(L57="Approved", L57="PMO Pending")), "MSS Need Send",
   TRUE, "Waiting Approval"
)</f>
        <v>Waiting Approval</v>
      </c>
      <c r="O57" t="str" cm="1">
        <f t="array" ref="O57">_xlfn.IFS(
   OR(M57="Cancel", M57="Canceled", M57="Reject", M57="Rejected", K57="Cancel", K57="Canceled", K57="Reject", K57="Rejected", L57="Cancel", L57="Canceled", L57="Reject", L57="Rejected"), "Cancel / Rejected",
   AND(OR(J57="Perbaikan_Asset"), OR(M57="KSO Pending")), "KSO Need Send",
   TRUE, "Waiting Approval"
)</f>
        <v>Cancel / Rejected</v>
      </c>
      <c r="P57" t="s">
        <v>1407</v>
      </c>
      <c r="Q57" t="str" cm="1">
        <f t="array" ref="Q57">_xlfn.IFS(
   OR(M57="Cancel", M57="Canceled", M57="Reject", M57="Rejected", K57="Cancel", K57="Canceled", K57="Reject", K57="Rejected", L57="Cancel", L57="Canceled", L57="Reject", L57="Rejected"), "Cancel / Rejected",
   P57&lt;&gt;"", "MSS Done Send",
   N57="MSS Need Send", "MSS Need Send",
   TRUE, "Waiting Approval"
)</f>
        <v>Cancel / Rejected</v>
      </c>
      <c r="R57" s="8">
        <v>46308</v>
      </c>
      <c r="S57" t="str" cm="1">
        <f t="array" ref="S57">_xlfn.IFS(
   OR(M57="Cancel", M57="Canceled", M57="Reject", M57="Rejected", K57="Cancel", K57="Canceled", K57="Reject", K57="Rejected", L57="Cancel", L57="Canceled", L57="Reject", L57="Rejected"), "Cancel / Rejected",
   R57&lt;&gt;"", "KSO Done Send",
   Q57="MSS Need Send", "MSS Need Send",
   O57="KSO Need Send", "KSO Need Send",
   TRUE, "Waiting Approval"
)</f>
        <v>Cancel / Rejected</v>
      </c>
    </row>
    <row r="58" spans="1:19" x14ac:dyDescent="0.25">
      <c r="A58" s="1" t="s">
        <v>45</v>
      </c>
      <c r="B58" s="1" t="s">
        <v>44</v>
      </c>
      <c r="C58" t="str">
        <f>_xlfn.XLOOKUP(B58,Engpar!A:A,Engpar!C:C)</f>
        <v>LANDAU GARONG</v>
      </c>
      <c r="D58" t="str">
        <f>_xlfn.XLOOKUP(B58,Engpar!A:A,Engpar!F:F)</f>
        <v>KALIMANTAN BARAT</v>
      </c>
      <c r="E58" t="str">
        <f>_xlfn.XLOOKUP(B58,Engpar!A:A,Engpar!G:G)</f>
        <v>MELAWI</v>
      </c>
      <c r="F58">
        <f>_xlfn.XLOOKUP(B58,Engpar!A:A,Engpar!J:J)</f>
        <v>-0.50804000000000005</v>
      </c>
      <c r="G58">
        <f>_xlfn.XLOOKUP(B58,Engpar!A:A,Engpar!K:K)</f>
        <v>111.8493</v>
      </c>
      <c r="H58" t="str">
        <f>_xlfn.XLOOKUP(A58,Claim!C:C,Claim!I:I)</f>
        <v>Solar Charge Controller</v>
      </c>
      <c r="I58">
        <f>_xlfn.XLOOKUP(A58,Claim!C:C,Claim!J:J)</f>
        <v>1</v>
      </c>
      <c r="J58" t="str">
        <f>_xlfn.XLOOKUP(A58,Claim!C:C,Claim!M:M)</f>
        <v>REQUEST_GARANSI</v>
      </c>
      <c r="K58" t="str">
        <f>_xlfn.XLOOKUP(A58,Claim!C:C,Claim!O:O)</f>
        <v>Approved</v>
      </c>
      <c r="L58" t="str">
        <f>_xlfn.XLOOKUP(A58,Claim!C:C,Claim!P:P)</f>
        <v>Canceled</v>
      </c>
      <c r="M58" t="str">
        <f>_xlfn.XLOOKUP(A58,Claim!C:C,Claim!Q:Q)</f>
        <v>-</v>
      </c>
      <c r="N58" t="str" cm="1">
        <f t="array" ref="N58">_xlfn.IFS(
   OR(L58="Cancel", L58="Canceled", L58="Reject", L58="Rejected"), "Cancel / Rejected",
   AND(OR(J58="Request_Garansi", J58="Perbaikan_Asset"), OR(L58="Approved", L58="PMO Pending")), "MSS Need Send",
   TRUE, "Waiting Approval"
)</f>
        <v>Cancel / Rejected</v>
      </c>
      <c r="O58" t="str" cm="1">
        <f t="array" ref="O58">_xlfn.IFS(
   OR(M58="Cancel", M58="Canceled", M58="Reject", M58="Rejected", K58="Cancel", K58="Canceled", K58="Reject", K58="Rejected", L58="Cancel", L58="Canceled", L58="Reject", L58="Rejected"), "Cancel / Rejected",
   AND(OR(J58="Perbaikan_Asset"), OR(M58="KSO Pending")), "KSO Need Send",
   TRUE, "Waiting Approval"
)</f>
        <v>Cancel / Rejected</v>
      </c>
      <c r="Q58" t="str" cm="1">
        <f t="array" ref="Q58">_xlfn.IFS(
   OR(M58="Cancel", M58="Canceled", M58="Reject", M58="Rejected", K58="Cancel", K58="Canceled", K58="Reject", K58="Rejected", L58="Cancel", L58="Canceled", L58="Reject", L58="Rejected"), "Cancel / Rejected",
   P58&lt;&gt;"", "MSS Done Send",
   N58="MSS Need Send", "MSS Need Send",
   TRUE, "Waiting Approval"
)</f>
        <v>Cancel / Rejected</v>
      </c>
      <c r="S58" t="str" cm="1">
        <f t="array" ref="S58">_xlfn.IFS(
   OR(M58="Cancel", M58="Canceled", M58="Reject", M58="Rejected", K58="Cancel", K58="Canceled", K58="Reject", K58="Rejected", L58="Cancel", L58="Canceled", L58="Reject", L58="Rejected"), "Cancel / Rejected",
   R58&lt;&gt;"", "KSO Done Send",
   Q58="MSS Need Send", "MSS Need Send",
   O58="KSO Need Send", "KSO Need Send",
   TRUE, "Waiting Approval"
)</f>
        <v>Cancel / Rejected</v>
      </c>
    </row>
    <row r="59" spans="1:19" x14ac:dyDescent="0.25">
      <c r="A59" s="1" t="s">
        <v>49</v>
      </c>
      <c r="B59" s="1" t="s">
        <v>48</v>
      </c>
      <c r="C59" t="str">
        <f>_xlfn.XLOOKUP(B59,Engpar!A:A,Engpar!C:C)</f>
        <v>TUMBANG SUEI</v>
      </c>
      <c r="D59" t="str">
        <f>_xlfn.XLOOKUP(B59,Engpar!A:A,Engpar!F:F)</f>
        <v>KALIMANTAN TENGAH</v>
      </c>
      <c r="E59" t="str">
        <f>_xlfn.XLOOKUP(B59,Engpar!A:A,Engpar!G:G)</f>
        <v>SERUYAN</v>
      </c>
      <c r="F59">
        <f>_xlfn.XLOOKUP(B59,Engpar!A:A,Engpar!J:J)</f>
        <v>-1.31559</v>
      </c>
      <c r="G59">
        <f>_xlfn.XLOOKUP(B59,Engpar!A:A,Engpar!K:K)</f>
        <v>111.855</v>
      </c>
      <c r="H59" t="str">
        <f>_xlfn.XLOOKUP(A59,Claim!C:C,Claim!I:I)</f>
        <v>INVERTER 300 W</v>
      </c>
      <c r="I59">
        <f>_xlfn.XLOOKUP(A59,Claim!C:C,Claim!J:J)</f>
        <v>1</v>
      </c>
      <c r="J59" t="str">
        <f>_xlfn.XLOOKUP(A59,Claim!C:C,Claim!M:M)</f>
        <v>PERBAIKAN_ASSET</v>
      </c>
      <c r="K59" t="str">
        <f>_xlfn.XLOOKUP(A59,Claim!C:C,Claim!O:O)</f>
        <v>Approved</v>
      </c>
      <c r="L59" t="str">
        <f>_xlfn.XLOOKUP(A59,Claim!C:C,Claim!P:P)</f>
        <v>Approved</v>
      </c>
      <c r="M59" t="str">
        <f>_xlfn.XLOOKUP(A59,Claim!C:C,Claim!Q:Q)</f>
        <v>MSS Pending Form</v>
      </c>
      <c r="N59" t="str" cm="1">
        <f t="array" ref="N59">_xlfn.IFS(
   OR(L59="Cancel", L59="Canceled", L59="Reject", L59="Rejected"), "Cancel / Rejected",
   AND(OR(J59="Request_Garansi", J59="Perbaikan_Asset"), OR(L59="Approved", L59="PMO Pending")), "MSS Need Send",
   TRUE, "Waiting Approval"
)</f>
        <v>MSS Need Send</v>
      </c>
      <c r="O59" t="str" cm="1">
        <f t="array" ref="O59">_xlfn.IFS(
   OR(M59="Cancel", M59="Canceled", M59="Reject", M59="Rejected", K59="Cancel", K59="Canceled", K59="Reject", K59="Rejected", L59="Cancel", L59="Canceled", L59="Reject", L59="Rejected"), "Cancel / Rejected",
   AND(OR(J59="Perbaikan_Asset"), OR(M59="KSO Pending")), "KSO Need Send",
   TRUE, "Waiting Approval"
)</f>
        <v>Waiting Approval</v>
      </c>
      <c r="P59" t="s">
        <v>1404</v>
      </c>
      <c r="Q59" t="str" cm="1">
        <f t="array" ref="Q59">_xlfn.IFS(
   OR(M59="Cancel", M59="Canceled", M59="Reject", M59="Rejected", K59="Cancel", K59="Canceled", K59="Reject", K59="Rejected", L59="Cancel", L59="Canceled", L59="Reject", L59="Rejected"), "Cancel / Rejected",
   P59&lt;&gt;"", "MSS Done Send",
   N59="MSS Need Send", "MSS Need Send",
   TRUE, "Waiting Approval"
)</f>
        <v>MSS Done Send</v>
      </c>
      <c r="S59" t="str" cm="1">
        <f t="array" ref="S59">_xlfn.IFS(
   OR(M59="Cancel", M59="Canceled", M59="Reject", M59="Rejected", K59="Cancel", K59="Canceled", K59="Reject", K59="Rejected", L59="Cancel", L59="Canceled", L59="Reject", L59="Rejected"), "Cancel / Rejected",
   R59&lt;&gt;"", "KSO Done Send",
   Q59="MSS Need Send", "MSS Need Send",
   O59="KSO Need Send", "KSO Need Send",
   TRUE, "Waiting Approval"
)</f>
        <v>Waiting Approval</v>
      </c>
    </row>
    <row r="60" spans="1:19" x14ac:dyDescent="0.25">
      <c r="A60" s="1" t="s">
        <v>52</v>
      </c>
      <c r="B60" s="1" t="s">
        <v>48</v>
      </c>
      <c r="C60" t="str">
        <f>_xlfn.XLOOKUP(B60,Engpar!A:A,Engpar!C:C)</f>
        <v>TUMBANG SUEI</v>
      </c>
      <c r="D60" t="str">
        <f>_xlfn.XLOOKUP(B60,Engpar!A:A,Engpar!F:F)</f>
        <v>KALIMANTAN TENGAH</v>
      </c>
      <c r="E60" t="str">
        <f>_xlfn.XLOOKUP(B60,Engpar!A:A,Engpar!G:G)</f>
        <v>SERUYAN</v>
      </c>
      <c r="F60">
        <f>_xlfn.XLOOKUP(B60,Engpar!A:A,Engpar!J:J)</f>
        <v>-1.31559</v>
      </c>
      <c r="G60">
        <f>_xlfn.XLOOKUP(B60,Engpar!A:A,Engpar!K:K)</f>
        <v>111.855</v>
      </c>
      <c r="H60" t="str">
        <f>_xlfn.XLOOKUP(A60,Claim!C:C,Claim!I:I)</f>
        <v>BATERAI</v>
      </c>
      <c r="I60">
        <f>_xlfn.XLOOKUP(A60,Claim!C:C,Claim!J:J)</f>
        <v>1</v>
      </c>
      <c r="J60" t="str">
        <f>_xlfn.XLOOKUP(A60,Claim!C:C,Claim!M:M)</f>
        <v>PERBAIKAN_ASSET</v>
      </c>
      <c r="K60" t="str">
        <f>_xlfn.XLOOKUP(A60,Claim!C:C,Claim!O:O)</f>
        <v>Approved</v>
      </c>
      <c r="L60" t="str">
        <f>_xlfn.XLOOKUP(A60,Claim!C:C,Claim!P:P)</f>
        <v>Approved</v>
      </c>
      <c r="M60" t="str">
        <f>_xlfn.XLOOKUP(A60,Claim!C:C,Claim!Q:Q)</f>
        <v>MSS Pending Form</v>
      </c>
      <c r="N60" t="str" cm="1">
        <f t="array" ref="N60">_xlfn.IFS(
   OR(L60="Cancel", L60="Canceled", L60="Reject", L60="Rejected"), "Cancel / Rejected",
   AND(OR(J60="Request_Garansi", J60="Perbaikan_Asset"), OR(L60="Approved", L60="PMO Pending")), "MSS Need Send",
   TRUE, "Waiting Approval"
)</f>
        <v>MSS Need Send</v>
      </c>
      <c r="O60" t="str" cm="1">
        <f t="array" ref="O60">_xlfn.IFS(
   OR(M60="Cancel", M60="Canceled", M60="Reject", M60="Rejected", K60="Cancel", K60="Canceled", K60="Reject", K60="Rejected", L60="Cancel", L60="Canceled", L60="Reject", L60="Rejected"), "Cancel / Rejected",
   AND(OR(J60="Perbaikan_Asset"), OR(M60="KSO Pending")), "KSO Need Send",
   TRUE, "Waiting Approval"
)</f>
        <v>Waiting Approval</v>
      </c>
      <c r="P60" t="s">
        <v>1407</v>
      </c>
      <c r="Q60" t="str" cm="1">
        <f t="array" ref="Q60">_xlfn.IFS(
   OR(M60="Cancel", M60="Canceled", M60="Reject", M60="Rejected", K60="Cancel", K60="Canceled", K60="Reject", K60="Rejected", L60="Cancel", L60="Canceled", L60="Reject", L60="Rejected"), "Cancel / Rejected",
   P60&lt;&gt;"", "MSS Done Send",
   N60="MSS Need Send", "MSS Need Send",
   TRUE, "Waiting Approval"
)</f>
        <v>MSS Done Send</v>
      </c>
      <c r="S60" t="str" cm="1">
        <f t="array" ref="S60">_xlfn.IFS(
   OR(M60="Cancel", M60="Canceled", M60="Reject", M60="Rejected", K60="Cancel", K60="Canceled", K60="Reject", K60="Rejected", L60="Cancel", L60="Canceled", L60="Reject", L60="Rejected"), "Cancel / Rejected",
   R60&lt;&gt;"", "KSO Done Send",
   Q60="MSS Need Send", "MSS Need Send",
   O60="KSO Need Send", "KSO Need Send",
   TRUE, "Waiting Approval"
)</f>
        <v>Waiting Approval</v>
      </c>
    </row>
    <row r="61" spans="1:19" x14ac:dyDescent="0.25">
      <c r="A61" s="1" t="s">
        <v>55</v>
      </c>
      <c r="B61" s="1" t="s">
        <v>54</v>
      </c>
      <c r="C61" t="str">
        <f>_xlfn.XLOOKUP(B61,Engpar!A:A,Engpar!C:C)</f>
        <v>MARUKANGAN</v>
      </c>
      <c r="D61" t="str">
        <f>_xlfn.XLOOKUP(B61,Engpar!A:A,Engpar!F:F)</f>
        <v>KALIMANTAN TIMUR</v>
      </c>
      <c r="E61" t="str">
        <f>_xlfn.XLOOKUP(B61,Engpar!A:A,Engpar!G:G)</f>
        <v>KUTAI TIMUR</v>
      </c>
      <c r="F61">
        <f>_xlfn.XLOOKUP(B61,Engpar!A:A,Engpar!J:J)</f>
        <v>0.86653000000000002</v>
      </c>
      <c r="G61">
        <f>_xlfn.XLOOKUP(B61,Engpar!A:A,Engpar!K:K)</f>
        <v>118.32862</v>
      </c>
      <c r="H61" t="str">
        <f>_xlfn.XLOOKUP(A61,Claim!C:C,Claim!I:I)</f>
        <v>BUC</v>
      </c>
      <c r="I61">
        <f>_xlfn.XLOOKUP(A61,Claim!C:C,Claim!J:J)</f>
        <v>1</v>
      </c>
      <c r="J61" t="str">
        <f>_xlfn.XLOOKUP(A61,Claim!C:C,Claim!M:M)</f>
        <v>PERBAIKAN_ASSET</v>
      </c>
      <c r="K61" t="str">
        <f>_xlfn.XLOOKUP(A61,Claim!C:C,Claim!O:O)</f>
        <v>Approved</v>
      </c>
      <c r="L61" t="str">
        <f>_xlfn.XLOOKUP(A61,Claim!C:C,Claim!P:P)</f>
        <v>Approved</v>
      </c>
      <c r="M61" t="str">
        <f>_xlfn.XLOOKUP(A61,Claim!C:C,Claim!Q:Q)</f>
        <v>MSS Pending Form</v>
      </c>
      <c r="N61" t="str" cm="1">
        <f t="array" ref="N61">_xlfn.IFS(
   OR(L61="Cancel", L61="Canceled", L61="Reject", L61="Rejected"), "Cancel / Rejected",
   AND(OR(J61="Request_Garansi", J61="Perbaikan_Asset"), OR(L61="Approved", L61="PMO Pending")), "MSS Need Send",
   TRUE, "Waiting Approval"
)</f>
        <v>MSS Need Send</v>
      </c>
      <c r="O61" t="str" cm="1">
        <f t="array" ref="O61">_xlfn.IFS(
   OR(M61="Cancel", M61="Canceled", M61="Reject", M61="Rejected", K61="Cancel", K61="Canceled", K61="Reject", K61="Rejected", L61="Cancel", L61="Canceled", L61="Reject", L61="Rejected"), "Cancel / Rejected",
   AND(OR(J61="Perbaikan_Asset"), OR(M61="KSO Pending")), "KSO Need Send",
   TRUE, "Waiting Approval"
)</f>
        <v>Waiting Approval</v>
      </c>
      <c r="Q61" t="str" cm="1">
        <f t="array" ref="Q61">_xlfn.IFS(
   OR(M61="Cancel", M61="Canceled", M61="Reject", M61="Rejected", K61="Cancel", K61="Canceled", K61="Reject", K61="Rejected", L61="Cancel", L61="Canceled", L61="Reject", L61="Rejected"), "Cancel / Rejected",
   P61&lt;&gt;"", "MSS Done Send",
   N61="MSS Need Send", "MSS Need Send",
   TRUE, "Waiting Approval"
)</f>
        <v>MSS Need Send</v>
      </c>
      <c r="S61" t="str" cm="1">
        <f t="array" ref="S61">_xlfn.IFS(
   OR(M61="Cancel", M61="Canceled", M61="Reject", M61="Rejected", K61="Cancel", K61="Canceled", K61="Reject", K61="Rejected", L61="Cancel", L61="Canceled", L61="Reject", L61="Rejected"), "Cancel / Rejected",
   R61&lt;&gt;"", "KSO Done Send",
   Q61="MSS Need Send", "MSS Need Send",
   O61="KSO Need Send", "KSO Need Send",
   TRUE, "Waiting Approval"
)</f>
        <v>MSS Need Send</v>
      </c>
    </row>
    <row r="62" spans="1:19" x14ac:dyDescent="0.25">
      <c r="A62" s="1" t="s">
        <v>59</v>
      </c>
      <c r="B62" s="1" t="s">
        <v>58</v>
      </c>
      <c r="C62" t="str">
        <f>_xlfn.XLOOKUP(B62,Engpar!A:A,Engpar!C:C)</f>
        <v>RANTAU BAHAI</v>
      </c>
      <c r="D62" t="str">
        <f>_xlfn.XLOOKUP(B62,Engpar!A:A,Engpar!F:F)</f>
        <v>KALIMANTAN TENGAH</v>
      </c>
      <c r="E62" t="str">
        <f>_xlfn.XLOOKUP(B62,Engpar!A:A,Engpar!G:G)</f>
        <v>KATINGAN</v>
      </c>
      <c r="F62">
        <f>_xlfn.XLOOKUP(B62,Engpar!A:A,Engpar!J:J)</f>
        <v>-1.0578399999999999</v>
      </c>
      <c r="G62">
        <f>_xlfn.XLOOKUP(B62,Engpar!A:A,Engpar!K:K)</f>
        <v>112.43424</v>
      </c>
      <c r="H62" t="str">
        <f>_xlfn.XLOOKUP(A62,Claim!C:C,Claim!I:I)</f>
        <v>BATERAI</v>
      </c>
      <c r="I62">
        <f>_xlfn.XLOOKUP(A62,Claim!C:C,Claim!J:J)</f>
        <v>2</v>
      </c>
      <c r="J62" t="str">
        <f>_xlfn.XLOOKUP(A62,Claim!C:C,Claim!M:M)</f>
        <v>PRE_APPROVAL</v>
      </c>
      <c r="K62" t="str">
        <f>_xlfn.XLOOKUP(A62,Claim!C:C,Claim!O:O)</f>
        <v>Rejected</v>
      </c>
      <c r="L62" t="str">
        <f>_xlfn.XLOOKUP(A62,Claim!C:C,Claim!P:P)</f>
        <v>-</v>
      </c>
      <c r="M62" t="str">
        <f>_xlfn.XLOOKUP(A62,Claim!C:C,Claim!Q:Q)</f>
        <v>-</v>
      </c>
      <c r="N62" t="str" cm="1">
        <f t="array" ref="N62">_xlfn.IFS(
   OR(L62="Cancel", L62="Canceled", L62="Reject", L62="Rejected"), "Cancel / Rejected",
   AND(OR(J62="Request_Garansi", J62="Perbaikan_Asset"), OR(L62="Approved", L62="PMO Pending")), "MSS Need Send",
   TRUE, "Waiting Approval"
)</f>
        <v>Waiting Approval</v>
      </c>
      <c r="O62" t="str" cm="1">
        <f t="array" ref="O62">_xlfn.IFS(
   OR(M62="Cancel", M62="Canceled", M62="Reject", M62="Rejected", K62="Cancel", K62="Canceled", K62="Reject", K62="Rejected", L62="Cancel", L62="Canceled", L62="Reject", L62="Rejected"), "Cancel / Rejected",
   AND(OR(J62="Perbaikan_Asset"), OR(M62="KSO Pending")), "KSO Need Send",
   TRUE, "Waiting Approval"
)</f>
        <v>Cancel / Rejected</v>
      </c>
      <c r="Q62" t="str" cm="1">
        <f t="array" ref="Q62">_xlfn.IFS(
   OR(M62="Cancel", M62="Canceled", M62="Reject", M62="Rejected", K62="Cancel", K62="Canceled", K62="Reject", K62="Rejected", L62="Cancel", L62="Canceled", L62="Reject", L62="Rejected"), "Cancel / Rejected",
   P62&lt;&gt;"", "MSS Done Send",
   N62="MSS Need Send", "MSS Need Send",
   TRUE, "Waiting Approval"
)</f>
        <v>Cancel / Rejected</v>
      </c>
      <c r="S62" t="str" cm="1">
        <f t="array" ref="S62">_xlfn.IFS(
   OR(M62="Cancel", M62="Canceled", M62="Reject", M62="Rejected", K62="Cancel", K62="Canceled", K62="Reject", K62="Rejected", L62="Cancel", L62="Canceled", L62="Reject", L62="Rejected"), "Cancel / Rejected",
   R62&lt;&gt;"", "KSO Done Send",
   Q62="MSS Need Send", "MSS Need Send",
   O62="KSO Need Send", "KSO Need Send",
   TRUE, "Waiting Approval"
)</f>
        <v>Cancel / Rejected</v>
      </c>
    </row>
    <row r="63" spans="1:19" x14ac:dyDescent="0.25">
      <c r="A63" s="1" t="s">
        <v>62</v>
      </c>
      <c r="B63" s="1" t="s">
        <v>61</v>
      </c>
      <c r="C63" t="str">
        <f>_xlfn.XLOOKUP(B63,Engpar!A:A,Engpar!C:C)</f>
        <v>TUMBANG MANGARA</v>
      </c>
      <c r="D63" t="str">
        <f>_xlfn.XLOOKUP(B63,Engpar!A:A,Engpar!F:F)</f>
        <v>KALIMANTAN TENGAH</v>
      </c>
      <c r="E63" t="str">
        <f>_xlfn.XLOOKUP(B63,Engpar!A:A,Engpar!G:G)</f>
        <v>KATINGAN</v>
      </c>
      <c r="F63">
        <f>_xlfn.XLOOKUP(B63,Engpar!A:A,Engpar!J:J)</f>
        <v>-1.0913999999999999</v>
      </c>
      <c r="G63">
        <f>_xlfn.XLOOKUP(B63,Engpar!A:A,Engpar!K:K)</f>
        <v>113.22205</v>
      </c>
      <c r="H63" t="str">
        <f>_xlfn.XLOOKUP(A63,Claim!C:C,Claim!I:I)</f>
        <v>BATERAI</v>
      </c>
      <c r="I63">
        <f>_xlfn.XLOOKUP(A63,Claim!C:C,Claim!J:J)</f>
        <v>3</v>
      </c>
      <c r="J63" t="str">
        <f>_xlfn.XLOOKUP(A63,Claim!C:C,Claim!M:M)</f>
        <v>PERBAIKAN_ASSET</v>
      </c>
      <c r="K63" t="str">
        <f>_xlfn.XLOOKUP(A63,Claim!C:C,Claim!O:O)</f>
        <v>Approved</v>
      </c>
      <c r="L63" t="str">
        <f>_xlfn.XLOOKUP(A63,Claim!C:C,Claim!P:P)</f>
        <v>Approved</v>
      </c>
      <c r="M63" t="str">
        <f>_xlfn.XLOOKUP(A63,Claim!C:C,Claim!Q:Q)</f>
        <v>MSS Pending Form</v>
      </c>
      <c r="N63" t="str" cm="1">
        <f t="array" ref="N63">_xlfn.IFS(
   OR(L63="Cancel", L63="Canceled", L63="Reject", L63="Rejected"), "Cancel / Rejected",
   AND(OR(J63="Request_Garansi", J63="Perbaikan_Asset"), OR(L63="Approved", L63="PMO Pending")), "MSS Need Send",
   TRUE, "Waiting Approval"
)</f>
        <v>MSS Need Send</v>
      </c>
      <c r="O63" t="str" cm="1">
        <f t="array" ref="O63">_xlfn.IFS(
   OR(M63="Cancel", M63="Canceled", M63="Reject", M63="Rejected", K63="Cancel", K63="Canceled", K63="Reject", K63="Rejected", L63="Cancel", L63="Canceled", L63="Reject", L63="Rejected"), "Cancel / Rejected",
   AND(OR(J63="Perbaikan_Asset"), OR(M63="KSO Pending")), "KSO Need Send",
   TRUE, "Waiting Approval"
)</f>
        <v>Waiting Approval</v>
      </c>
      <c r="Q63" t="str" cm="1">
        <f t="array" ref="Q63">_xlfn.IFS(
   OR(M63="Cancel", M63="Canceled", M63="Reject", M63="Rejected", K63="Cancel", K63="Canceled", K63="Reject", K63="Rejected", L63="Cancel", L63="Canceled", L63="Reject", L63="Rejected"), "Cancel / Rejected",
   P63&lt;&gt;"", "MSS Done Send",
   N63="MSS Need Send", "MSS Need Send",
   TRUE, "Waiting Approval"
)</f>
        <v>MSS Need Send</v>
      </c>
      <c r="S63" t="str" cm="1">
        <f t="array" ref="S63">_xlfn.IFS(
   OR(M63="Cancel", M63="Canceled", M63="Reject", M63="Rejected", K63="Cancel", K63="Canceled", K63="Reject", K63="Rejected", L63="Cancel", L63="Canceled", L63="Reject", L63="Rejected"), "Cancel / Rejected",
   R63&lt;&gt;"", "KSO Done Send",
   Q63="MSS Need Send", "MSS Need Send",
   O63="KSO Need Send", "KSO Need Send",
   TRUE, "Waiting Approval"
)</f>
        <v>MSS Need Send</v>
      </c>
    </row>
    <row r="64" spans="1:19" x14ac:dyDescent="0.25">
      <c r="A64" s="1" t="s">
        <v>65</v>
      </c>
      <c r="B64" s="1" t="s">
        <v>64</v>
      </c>
      <c r="C64" t="str">
        <f>_xlfn.XLOOKUP(B64,Engpar!A:A,Engpar!C:C)</f>
        <v>SEI NANJAN</v>
      </c>
      <c r="D64" t="str">
        <f>_xlfn.XLOOKUP(B64,Engpar!A:A,Engpar!F:F)</f>
        <v>KALIMANTAN TENGAH</v>
      </c>
      <c r="E64" t="str">
        <f>_xlfn.XLOOKUP(B64,Engpar!A:A,Engpar!G:G)</f>
        <v>KATINGAN</v>
      </c>
      <c r="F64">
        <f>_xlfn.XLOOKUP(B64,Engpar!A:A,Engpar!J:J)</f>
        <v>-1.0990500000000001</v>
      </c>
      <c r="G64">
        <f>_xlfn.XLOOKUP(B64,Engpar!A:A,Engpar!K:K)</f>
        <v>112.41753</v>
      </c>
      <c r="H64" t="str">
        <f>_xlfn.XLOOKUP(A64,Claim!C:C,Claim!I:I)</f>
        <v>BATERAI</v>
      </c>
      <c r="I64">
        <f>_xlfn.XLOOKUP(A64,Claim!C:C,Claim!J:J)</f>
        <v>1</v>
      </c>
      <c r="J64" t="str">
        <f>_xlfn.XLOOKUP(A64,Claim!C:C,Claim!M:M)</f>
        <v>PERBAIKAN_ASSET</v>
      </c>
      <c r="K64" t="str">
        <f>_xlfn.XLOOKUP(A64,Claim!C:C,Claim!O:O)</f>
        <v>Approved</v>
      </c>
      <c r="L64" t="str">
        <f>_xlfn.XLOOKUP(A64,Claim!C:C,Claim!P:P)</f>
        <v>Approved</v>
      </c>
      <c r="M64" t="str">
        <f>_xlfn.XLOOKUP(A64,Claim!C:C,Claim!Q:Q)</f>
        <v>MSS Pending Form</v>
      </c>
      <c r="N64" t="str" cm="1">
        <f t="array" ref="N64">_xlfn.IFS(
   OR(L64="Cancel", L64="Canceled", L64="Reject", L64="Rejected"), "Cancel / Rejected",
   AND(OR(J64="Request_Garansi", J64="Perbaikan_Asset"), OR(L64="Approved", L64="PMO Pending")), "MSS Need Send",
   TRUE, "Waiting Approval"
)</f>
        <v>MSS Need Send</v>
      </c>
      <c r="O64" t="str" cm="1">
        <f t="array" ref="O64">_xlfn.IFS(
   OR(M64="Cancel", M64="Canceled", M64="Reject", M64="Rejected", K64="Cancel", K64="Canceled", K64="Reject", K64="Rejected", L64="Cancel", L64="Canceled", L64="Reject", L64="Rejected"), "Cancel / Rejected",
   AND(OR(J64="Perbaikan_Asset"), OR(M64="KSO Pending")), "KSO Need Send",
   TRUE, "Waiting Approval"
)</f>
        <v>Waiting Approval</v>
      </c>
      <c r="Q64" t="str" cm="1">
        <f t="array" ref="Q64">_xlfn.IFS(
   OR(M64="Cancel", M64="Canceled", M64="Reject", M64="Rejected", K64="Cancel", K64="Canceled", K64="Reject", K64="Rejected", L64="Cancel", L64="Canceled", L64="Reject", L64="Rejected"), "Cancel / Rejected",
   P64&lt;&gt;"", "MSS Done Send",
   N64="MSS Need Send", "MSS Need Send",
   TRUE, "Waiting Approval"
)</f>
        <v>MSS Need Send</v>
      </c>
      <c r="S64" t="str" cm="1">
        <f t="array" ref="S64">_xlfn.IFS(
   OR(M64="Cancel", M64="Canceled", M64="Reject", M64="Rejected", K64="Cancel", K64="Canceled", K64="Reject", K64="Rejected", L64="Cancel", L64="Canceled", L64="Reject", L64="Rejected"), "Cancel / Rejected",
   R64&lt;&gt;"", "KSO Done Send",
   Q64="MSS Need Send", "MSS Need Send",
   O64="KSO Need Send", "KSO Need Send",
   TRUE, "Waiting Approval"
)</f>
        <v>MSS Need Send</v>
      </c>
    </row>
    <row r="65" spans="1:19" x14ac:dyDescent="0.25">
      <c r="A65" s="1" t="s">
        <v>67</v>
      </c>
      <c r="B65" s="1" t="s">
        <v>19</v>
      </c>
      <c r="C65" t="str">
        <f>_xlfn.XLOOKUP(B65,Engpar!A:A,Engpar!C:C)</f>
        <v>SEBULUH</v>
      </c>
      <c r="D65" t="str">
        <f>_xlfn.XLOOKUP(B65,Engpar!A:A,Engpar!F:F)</f>
        <v>KALIMANTAN BARAT</v>
      </c>
      <c r="E65" t="str">
        <f>_xlfn.XLOOKUP(B65,Engpar!A:A,Engpar!G:G)</f>
        <v>SINTANG</v>
      </c>
      <c r="F65">
        <f>_xlfn.XLOOKUP(B65,Engpar!A:A,Engpar!J:J)</f>
        <v>0.94313000000000002</v>
      </c>
      <c r="G65">
        <f>_xlfn.XLOOKUP(B65,Engpar!A:A,Engpar!K:K)</f>
        <v>111.09341000000001</v>
      </c>
      <c r="H65" t="str">
        <f>_xlfn.XLOOKUP(A65,Claim!C:C,Claim!I:I)</f>
        <v>MODEM</v>
      </c>
      <c r="I65">
        <f>_xlfn.XLOOKUP(A65,Claim!C:C,Claim!J:J)</f>
        <v>1</v>
      </c>
      <c r="J65" t="str">
        <f>_xlfn.XLOOKUP(A65,Claim!C:C,Claim!M:M)</f>
        <v>PRE_APPROVAL</v>
      </c>
      <c r="K65" t="str">
        <f>_xlfn.XLOOKUP(A65,Claim!C:C,Claim!O:O)</f>
        <v>Rejected</v>
      </c>
      <c r="L65" t="str">
        <f>_xlfn.XLOOKUP(A65,Claim!C:C,Claim!P:P)</f>
        <v>-</v>
      </c>
      <c r="M65" t="str">
        <f>_xlfn.XLOOKUP(A65,Claim!C:C,Claim!Q:Q)</f>
        <v>-</v>
      </c>
      <c r="N65" t="str" cm="1">
        <f t="array" ref="N65">_xlfn.IFS(
   OR(L65="Cancel", L65="Canceled", L65="Reject", L65="Rejected"), "Cancel / Rejected",
   AND(OR(J65="Request_Garansi", J65="Perbaikan_Asset"), OR(L65="Approved", L65="PMO Pending")), "MSS Need Send",
   TRUE, "Waiting Approval"
)</f>
        <v>Waiting Approval</v>
      </c>
      <c r="O65" t="str" cm="1">
        <f t="array" ref="O65">_xlfn.IFS(
   OR(M65="Cancel", M65="Canceled", M65="Reject", M65="Rejected", K65="Cancel", K65="Canceled", K65="Reject", K65="Rejected", L65="Cancel", L65="Canceled", L65="Reject", L65="Rejected"), "Cancel / Rejected",
   AND(OR(J65="Perbaikan_Asset"), OR(M65="KSO Pending")), "KSO Need Send",
   TRUE, "Waiting Approval"
)</f>
        <v>Cancel / Rejected</v>
      </c>
      <c r="Q65" t="str" cm="1">
        <f t="array" ref="Q65">_xlfn.IFS(
   OR(M65="Cancel", M65="Canceled", M65="Reject", M65="Rejected", K65="Cancel", K65="Canceled", K65="Reject", K65="Rejected", L65="Cancel", L65="Canceled", L65="Reject", L65="Rejected"), "Cancel / Rejected",
   P65&lt;&gt;"", "MSS Done Send",
   N65="MSS Need Send", "MSS Need Send",
   TRUE, "Waiting Approval"
)</f>
        <v>Cancel / Rejected</v>
      </c>
      <c r="S65" t="str" cm="1">
        <f t="array" ref="S65">_xlfn.IFS(
   OR(M65="Cancel", M65="Canceled", M65="Reject", M65="Rejected", K65="Cancel", K65="Canceled", K65="Reject", K65="Rejected", L65="Cancel", L65="Canceled", L65="Reject", L65="Rejected"), "Cancel / Rejected",
   R65&lt;&gt;"", "KSO Done Send",
   Q65="MSS Need Send", "MSS Need Send",
   O65="KSO Need Send", "KSO Need Send",
   TRUE, "Waiting Approval"
)</f>
        <v>Cancel / Rejected</v>
      </c>
    </row>
    <row r="66" spans="1:19" x14ac:dyDescent="0.25">
      <c r="A66" s="1" t="s">
        <v>71</v>
      </c>
      <c r="B66" s="1" t="s">
        <v>70</v>
      </c>
      <c r="C66" t="str">
        <f>_xlfn.XLOOKUP(B66,Engpar!A:A,Engpar!C:C)</f>
        <v>TAPAKNG</v>
      </c>
      <c r="D66" t="str">
        <f>_xlfn.XLOOKUP(B66,Engpar!A:A,Engpar!F:F)</f>
        <v>KALIMANTAN BARAT</v>
      </c>
      <c r="E66" t="str">
        <f>_xlfn.XLOOKUP(B66,Engpar!A:A,Engpar!G:G)</f>
        <v>LANDAK</v>
      </c>
      <c r="F66">
        <f>_xlfn.XLOOKUP(B66,Engpar!A:A,Engpar!J:J)</f>
        <v>0.50273999999999996</v>
      </c>
      <c r="G66">
        <f>_xlfn.XLOOKUP(B66,Engpar!A:A,Engpar!K:K)</f>
        <v>109.54523</v>
      </c>
      <c r="H66" t="str">
        <f>_xlfn.XLOOKUP(A66,Claim!C:C,Claim!I:I)</f>
        <v>Battery</v>
      </c>
      <c r="I66">
        <f>_xlfn.XLOOKUP(A66,Claim!C:C,Claim!J:J)</f>
        <v>1</v>
      </c>
      <c r="J66" t="str">
        <f>_xlfn.XLOOKUP(A66,Claim!C:C,Claim!M:M)</f>
        <v>PRE_APPROVAL</v>
      </c>
      <c r="K66" t="str">
        <f>_xlfn.XLOOKUP(A66,Claim!C:C,Claim!O:O)</f>
        <v>Rejected</v>
      </c>
      <c r="L66" t="str">
        <f>_xlfn.XLOOKUP(A66,Claim!C:C,Claim!P:P)</f>
        <v>-</v>
      </c>
      <c r="M66" t="str">
        <f>_xlfn.XLOOKUP(A66,Claim!C:C,Claim!Q:Q)</f>
        <v>-</v>
      </c>
      <c r="N66" t="str" cm="1">
        <f t="array" ref="N66">_xlfn.IFS(
   OR(L66="Cancel", L66="Canceled", L66="Reject", L66="Rejected"), "Cancel / Rejected",
   AND(OR(J66="Request_Garansi", J66="Perbaikan_Asset"), OR(L66="Approved", L66="PMO Pending")), "MSS Need Send",
   TRUE, "Waiting Approval"
)</f>
        <v>Waiting Approval</v>
      </c>
      <c r="O66" t="str" cm="1">
        <f t="array" ref="O66">_xlfn.IFS(
   OR(M66="Cancel", M66="Canceled", M66="Reject", M66="Rejected", K66="Cancel", K66="Canceled", K66="Reject", K66="Rejected", L66="Cancel", L66="Canceled", L66="Reject", L66="Rejected"), "Cancel / Rejected",
   AND(OR(J66="Perbaikan_Asset"), OR(M66="KSO Pending")), "KSO Need Send",
   TRUE, "Waiting Approval"
)</f>
        <v>Cancel / Rejected</v>
      </c>
      <c r="Q66" t="str" cm="1">
        <f t="array" ref="Q66">_xlfn.IFS(
   OR(M66="Cancel", M66="Canceled", M66="Reject", M66="Rejected", K66="Cancel", K66="Canceled", K66="Reject", K66="Rejected", L66="Cancel", L66="Canceled", L66="Reject", L66="Rejected"), "Cancel / Rejected",
   P66&lt;&gt;"", "MSS Done Send",
   N66="MSS Need Send", "MSS Need Send",
   TRUE, "Waiting Approval"
)</f>
        <v>Cancel / Rejected</v>
      </c>
      <c r="S66" t="str" cm="1">
        <f t="array" ref="S66">_xlfn.IFS(
   OR(M66="Cancel", M66="Canceled", M66="Reject", M66="Rejected", K66="Cancel", K66="Canceled", K66="Reject", K66="Rejected", L66="Cancel", L66="Canceled", L66="Reject", L66="Rejected"), "Cancel / Rejected",
   R66&lt;&gt;"", "KSO Done Send",
   Q66="MSS Need Send", "MSS Need Send",
   O66="KSO Need Send", "KSO Need Send",
   TRUE, "Waiting Approval"
)</f>
        <v>Cancel / Rejected</v>
      </c>
    </row>
    <row r="67" spans="1:19" x14ac:dyDescent="0.25">
      <c r="A67" s="1" t="s">
        <v>76</v>
      </c>
      <c r="B67" s="1" t="s">
        <v>75</v>
      </c>
      <c r="C67" t="str">
        <f>_xlfn.XLOOKUP(B67,Engpar!A:A,Engpar!C:C)</f>
        <v>NYANGGAI</v>
      </c>
      <c r="D67" t="str">
        <f>_xlfn.XLOOKUP(B67,Engpar!A:A,Engpar!F:F)</f>
        <v>KALIMANTAN BARAT</v>
      </c>
      <c r="E67" t="str">
        <f>_xlfn.XLOOKUP(B67,Engpar!A:A,Engpar!G:G)</f>
        <v>MELAWI</v>
      </c>
      <c r="F67">
        <f>_xlfn.XLOOKUP(B67,Engpar!A:A,Engpar!J:J)</f>
        <v>-0.52663000000000004</v>
      </c>
      <c r="G67">
        <f>_xlfn.XLOOKUP(B67,Engpar!A:A,Engpar!K:K)</f>
        <v>111.8817</v>
      </c>
      <c r="H67" t="str">
        <f>_xlfn.XLOOKUP(A67,Claim!C:C,Claim!I:I)</f>
        <v>SNMP Monitoring</v>
      </c>
      <c r="I67">
        <f>_xlfn.XLOOKUP(A67,Claim!C:C,Claim!J:J)</f>
        <v>1</v>
      </c>
      <c r="J67" t="str">
        <f>_xlfn.XLOOKUP(A67,Claim!C:C,Claim!M:M)</f>
        <v>REQUEST_GARANSI</v>
      </c>
      <c r="K67" t="str">
        <f>_xlfn.XLOOKUP(A67,Claim!C:C,Claim!O:O)</f>
        <v>Approved</v>
      </c>
      <c r="L67" t="str">
        <f>_xlfn.XLOOKUP(A67,Claim!C:C,Claim!P:P)</f>
        <v>Approved</v>
      </c>
      <c r="M67" t="str">
        <f>_xlfn.XLOOKUP(A67,Claim!C:C,Claim!Q:Q)</f>
        <v>MSS Pending Form</v>
      </c>
      <c r="N67" t="str" cm="1">
        <f t="array" ref="N67">_xlfn.IFS(
   OR(L67="Cancel", L67="Canceled", L67="Reject", L67="Rejected"), "Cancel / Rejected",
   AND(OR(J67="Request_Garansi", J67="Perbaikan_Asset"), OR(L67="Approved", L67="PMO Pending")), "MSS Need Send",
   TRUE, "Waiting Approval"
)</f>
        <v>MSS Need Send</v>
      </c>
      <c r="O67" t="str" cm="1">
        <f t="array" ref="O67">_xlfn.IFS(
   OR(M67="Cancel", M67="Canceled", M67="Reject", M67="Rejected", K67="Cancel", K67="Canceled", K67="Reject", K67="Rejected", L67="Cancel", L67="Canceled", L67="Reject", L67="Rejected"), "Cancel / Rejected",
   AND(OR(J67="Perbaikan_Asset"), OR(M67="KSO Pending")), "KSO Need Send",
   TRUE, "Waiting Approval"
)</f>
        <v>Waiting Approval</v>
      </c>
      <c r="Q67" t="str" cm="1">
        <f t="array" ref="Q67">_xlfn.IFS(
   OR(M67="Cancel", M67="Canceled", M67="Reject", M67="Rejected", K67="Cancel", K67="Canceled", K67="Reject", K67="Rejected", L67="Cancel", L67="Canceled", L67="Reject", L67="Rejected"), "Cancel / Rejected",
   P67&lt;&gt;"", "MSS Done Send",
   N67="MSS Need Send", "MSS Need Send",
   TRUE, "Waiting Approval"
)</f>
        <v>MSS Need Send</v>
      </c>
      <c r="S67" t="str" cm="1">
        <f t="array" ref="S67">_xlfn.IFS(
   OR(M67="Cancel", M67="Canceled", M67="Reject", M67="Rejected", K67="Cancel", K67="Canceled", K67="Reject", K67="Rejected", L67="Cancel", L67="Canceled", L67="Reject", L67="Rejected"), "Cancel / Rejected",
   R67&lt;&gt;"", "KSO Done Send",
   Q67="MSS Need Send", "MSS Need Send",
   O67="KSO Need Send", "KSO Need Send",
   TRUE, "Waiting Approval"
)</f>
        <v>MSS Need Send</v>
      </c>
    </row>
    <row r="68" spans="1:19" x14ac:dyDescent="0.25">
      <c r="A68" s="1" t="s">
        <v>81</v>
      </c>
      <c r="B68" s="1" t="s">
        <v>80</v>
      </c>
      <c r="C68" t="str">
        <f>_xlfn.XLOOKUP(B68,Engpar!A:A,Engpar!C:C)</f>
        <v>TINTIN PENINJAU</v>
      </c>
      <c r="D68" t="str">
        <f>_xlfn.XLOOKUP(B68,Engpar!A:A,Engpar!F:F)</f>
        <v>KALIMANTAN BARAT</v>
      </c>
      <c r="E68" t="str">
        <f>_xlfn.XLOOKUP(B68,Engpar!A:A,Engpar!G:G)</f>
        <v>KAPUAS HULU</v>
      </c>
      <c r="F68">
        <f>_xlfn.XLOOKUP(B68,Engpar!A:A,Engpar!J:J)</f>
        <v>0.88585000000000003</v>
      </c>
      <c r="G68">
        <f>_xlfn.XLOOKUP(B68,Engpar!A:A,Engpar!K:K)</f>
        <v>111.82314</v>
      </c>
      <c r="H68" t="str">
        <f>_xlfn.XLOOKUP(A68,Claim!C:C,Claim!I:I)</f>
        <v>BATERAI</v>
      </c>
      <c r="I68">
        <f>_xlfn.XLOOKUP(A68,Claim!C:C,Claim!J:J)</f>
        <v>2</v>
      </c>
      <c r="J68" t="str">
        <f>_xlfn.XLOOKUP(A68,Claim!C:C,Claim!M:M)</f>
        <v>REQUEST_GARANSI</v>
      </c>
      <c r="K68" t="str">
        <f>_xlfn.XLOOKUP(A68,Claim!C:C,Claim!O:O)</f>
        <v>Approved</v>
      </c>
      <c r="L68" t="str">
        <f>_xlfn.XLOOKUP(A68,Claim!C:C,Claim!P:P)</f>
        <v>Approved</v>
      </c>
      <c r="M68" t="str">
        <f>_xlfn.XLOOKUP(A68,Claim!C:C,Claim!Q:Q)</f>
        <v>MSS Pending Form</v>
      </c>
      <c r="N68" t="str" cm="1">
        <f t="array" ref="N68">_xlfn.IFS(
   OR(L68="Cancel", L68="Canceled", L68="Reject", L68="Rejected"), "Cancel / Rejected",
   AND(OR(J68="Request_Garansi", J68="Perbaikan_Asset"), OR(L68="Approved", L68="PMO Pending")), "MSS Need Send",
   TRUE, "Waiting Approval"
)</f>
        <v>MSS Need Send</v>
      </c>
      <c r="O68" t="str" cm="1">
        <f t="array" ref="O68">_xlfn.IFS(
   OR(M68="Cancel", M68="Canceled", M68="Reject", M68="Rejected", K68="Cancel", K68="Canceled", K68="Reject", K68="Rejected", L68="Cancel", L68="Canceled", L68="Reject", L68="Rejected"), "Cancel / Rejected",
   AND(OR(J68="Perbaikan_Asset"), OR(M68="KSO Pending")), "KSO Need Send",
   TRUE, "Waiting Approval"
)</f>
        <v>Waiting Approval</v>
      </c>
      <c r="Q68" t="str" cm="1">
        <f t="array" ref="Q68">_xlfn.IFS(
   OR(M68="Cancel", M68="Canceled", M68="Reject", M68="Rejected", K68="Cancel", K68="Canceled", K68="Reject", K68="Rejected", L68="Cancel", L68="Canceled", L68="Reject", L68="Rejected"), "Cancel / Rejected",
   P68&lt;&gt;"", "MSS Done Send",
   N68="MSS Need Send", "MSS Need Send",
   TRUE, "Waiting Approval"
)</f>
        <v>MSS Need Send</v>
      </c>
      <c r="S68" t="str" cm="1">
        <f t="array" ref="S68">_xlfn.IFS(
   OR(M68="Cancel", M68="Canceled", M68="Reject", M68="Rejected", K68="Cancel", K68="Canceled", K68="Reject", K68="Rejected", L68="Cancel", L68="Canceled", L68="Reject", L68="Rejected"), "Cancel / Rejected",
   R68&lt;&gt;"", "KSO Done Send",
   Q68="MSS Need Send", "MSS Need Send",
   O68="KSO Need Send", "KSO Need Send",
   TRUE, "Waiting Approval"
)</f>
        <v>MSS Need Send</v>
      </c>
    </row>
    <row r="69" spans="1:19" x14ac:dyDescent="0.25">
      <c r="A69" s="1" t="s">
        <v>84</v>
      </c>
      <c r="B69" s="1" t="s">
        <v>83</v>
      </c>
      <c r="C69" t="str">
        <f>_xlfn.XLOOKUP(B69,Engpar!A:A,Engpar!C:C)</f>
        <v>RIAM BATU</v>
      </c>
      <c r="D69" t="str">
        <f>_xlfn.XLOOKUP(B69,Engpar!A:A,Engpar!F:F)</f>
        <v>KALIMANTAN BARAT</v>
      </c>
      <c r="E69" t="str">
        <f>_xlfn.XLOOKUP(B69,Engpar!A:A,Engpar!G:G)</f>
        <v>SINTANG</v>
      </c>
      <c r="F69">
        <f>_xlfn.XLOOKUP(B69,Engpar!A:A,Engpar!J:J)</f>
        <v>-0.37741999999999998</v>
      </c>
      <c r="G69">
        <f>_xlfn.XLOOKUP(B69,Engpar!A:A,Engpar!K:K)</f>
        <v>111.32026999999999</v>
      </c>
      <c r="H69" t="str">
        <f>_xlfn.XLOOKUP(A69,Claim!C:C,Claim!I:I)</f>
        <v>SNMP Monitoring</v>
      </c>
      <c r="I69">
        <f>_xlfn.XLOOKUP(A69,Claim!C:C,Claim!J:J)</f>
        <v>1</v>
      </c>
      <c r="J69" t="str">
        <f>_xlfn.XLOOKUP(A69,Claim!C:C,Claim!M:M)</f>
        <v>PRE_APPROVAL</v>
      </c>
      <c r="K69" t="str">
        <f>_xlfn.XLOOKUP(A69,Claim!C:C,Claim!O:O)</f>
        <v>Rejected</v>
      </c>
      <c r="L69" t="str">
        <f>_xlfn.XLOOKUP(A69,Claim!C:C,Claim!P:P)</f>
        <v>-</v>
      </c>
      <c r="M69" t="str">
        <f>_xlfn.XLOOKUP(A69,Claim!C:C,Claim!Q:Q)</f>
        <v>-</v>
      </c>
      <c r="N69" t="str" cm="1">
        <f t="array" ref="N69">_xlfn.IFS(
   OR(L69="Cancel", L69="Canceled", L69="Reject", L69="Rejected"), "Cancel / Rejected",
   AND(OR(J69="Request_Garansi", J69="Perbaikan_Asset"), OR(L69="Approved", L69="PMO Pending")), "MSS Need Send",
   TRUE, "Waiting Approval"
)</f>
        <v>Waiting Approval</v>
      </c>
      <c r="O69" t="str" cm="1">
        <f t="array" ref="O69">_xlfn.IFS(
   OR(M69="Cancel", M69="Canceled", M69="Reject", M69="Rejected", K69="Cancel", K69="Canceled", K69="Reject", K69="Rejected", L69="Cancel", L69="Canceled", L69="Reject", L69="Rejected"), "Cancel / Rejected",
   AND(OR(J69="Perbaikan_Asset"), OR(M69="KSO Pending")), "KSO Need Send",
   TRUE, "Waiting Approval"
)</f>
        <v>Cancel / Rejected</v>
      </c>
      <c r="Q69" t="str" cm="1">
        <f t="array" ref="Q69">_xlfn.IFS(
   OR(M69="Cancel", M69="Canceled", M69="Reject", M69="Rejected", K69="Cancel", K69="Canceled", K69="Reject", K69="Rejected", L69="Cancel", L69="Canceled", L69="Reject", L69="Rejected"), "Cancel / Rejected",
   P69&lt;&gt;"", "MSS Done Send",
   N69="MSS Need Send", "MSS Need Send",
   TRUE, "Waiting Approval"
)</f>
        <v>Cancel / Rejected</v>
      </c>
      <c r="S69" t="str" cm="1">
        <f t="array" ref="S69">_xlfn.IFS(
   OR(M69="Cancel", M69="Canceled", M69="Reject", M69="Rejected", K69="Cancel", K69="Canceled", K69="Reject", K69="Rejected", L69="Cancel", L69="Canceled", L69="Reject", L69="Rejected"), "Cancel / Rejected",
   R69&lt;&gt;"", "KSO Done Send",
   Q69="MSS Need Send", "MSS Need Send",
   O69="KSO Need Send", "KSO Need Send",
   TRUE, "Waiting Approval"
)</f>
        <v>Cancel / Rejected</v>
      </c>
    </row>
    <row r="70" spans="1:19" x14ac:dyDescent="0.25">
      <c r="A70" s="1" t="s">
        <v>87</v>
      </c>
      <c r="B70" s="1" t="s">
        <v>80</v>
      </c>
      <c r="C70" t="str">
        <f>_xlfn.XLOOKUP(B70,Engpar!A:A,Engpar!C:C)</f>
        <v>TINTIN PENINJAU</v>
      </c>
      <c r="D70" t="str">
        <f>_xlfn.XLOOKUP(B70,Engpar!A:A,Engpar!F:F)</f>
        <v>KALIMANTAN BARAT</v>
      </c>
      <c r="E70" t="str">
        <f>_xlfn.XLOOKUP(B70,Engpar!A:A,Engpar!G:G)</f>
        <v>KAPUAS HULU</v>
      </c>
      <c r="F70">
        <f>_xlfn.XLOOKUP(B70,Engpar!A:A,Engpar!J:J)</f>
        <v>0.88585000000000003</v>
      </c>
      <c r="G70">
        <f>_xlfn.XLOOKUP(B70,Engpar!A:A,Engpar!K:K)</f>
        <v>111.82314</v>
      </c>
      <c r="H70" t="str">
        <f>_xlfn.XLOOKUP(A70,Claim!C:C,Claim!I:I)</f>
        <v>INVERTER 300 W</v>
      </c>
      <c r="I70">
        <f>_xlfn.XLOOKUP(A70,Claim!C:C,Claim!J:J)</f>
        <v>1</v>
      </c>
      <c r="J70" t="str">
        <f>_xlfn.XLOOKUP(A70,Claim!C:C,Claim!M:M)</f>
        <v>REQUEST_GARANSI</v>
      </c>
      <c r="K70" t="str">
        <f>_xlfn.XLOOKUP(A70,Claim!C:C,Claim!O:O)</f>
        <v>Approved</v>
      </c>
      <c r="L70" t="str">
        <f>_xlfn.XLOOKUP(A70,Claim!C:C,Claim!P:P)</f>
        <v>Approved</v>
      </c>
      <c r="M70" t="str">
        <f>_xlfn.XLOOKUP(A70,Claim!C:C,Claim!Q:Q)</f>
        <v>MSS Pending Form</v>
      </c>
      <c r="N70" t="str" cm="1">
        <f t="array" ref="N70">_xlfn.IFS(
   OR(L70="Cancel", L70="Canceled", L70="Reject", L70="Rejected"), "Cancel / Rejected",
   AND(OR(J70="Request_Garansi", J70="Perbaikan_Asset"), OR(L70="Approved", L70="PMO Pending")), "MSS Need Send",
   TRUE, "Waiting Approval"
)</f>
        <v>MSS Need Send</v>
      </c>
      <c r="O70" t="str" cm="1">
        <f t="array" ref="O70">_xlfn.IFS(
   OR(M70="Cancel", M70="Canceled", M70="Reject", M70="Rejected", K70="Cancel", K70="Canceled", K70="Reject", K70="Rejected", L70="Cancel", L70="Canceled", L70="Reject", L70="Rejected"), "Cancel / Rejected",
   AND(OR(J70="Perbaikan_Asset"), OR(M70="KSO Pending")), "KSO Need Send",
   TRUE, "Waiting Approval"
)</f>
        <v>Waiting Approval</v>
      </c>
      <c r="P70" t="s">
        <v>1405</v>
      </c>
      <c r="Q70" t="str" cm="1">
        <f t="array" ref="Q70">_xlfn.IFS(
   OR(M70="Cancel", M70="Canceled", M70="Reject", M70="Rejected", K70="Cancel", K70="Canceled", K70="Reject", K70="Rejected", L70="Cancel", L70="Canceled", L70="Reject", L70="Rejected"), "Cancel / Rejected",
   P70&lt;&gt;"", "MSS Done Send",
   N70="MSS Need Send", "MSS Need Send",
   TRUE, "Waiting Approval"
)</f>
        <v>MSS Done Send</v>
      </c>
      <c r="S70" t="str" cm="1">
        <f t="array" ref="S70">_xlfn.IFS(
   OR(M70="Cancel", M70="Canceled", M70="Reject", M70="Rejected", K70="Cancel", K70="Canceled", K70="Reject", K70="Rejected", L70="Cancel", L70="Canceled", L70="Reject", L70="Rejected"), "Cancel / Rejected",
   R70&lt;&gt;"", "KSO Done Send",
   Q70="MSS Need Send", "MSS Need Send",
   O70="KSO Need Send", "KSO Need Send",
   TRUE, "Waiting Approval"
)</f>
        <v>Waiting Approval</v>
      </c>
    </row>
    <row r="71" spans="1:19" x14ac:dyDescent="0.25">
      <c r="A71" s="1" t="s">
        <v>89</v>
      </c>
      <c r="B71" s="1" t="s">
        <v>44</v>
      </c>
      <c r="C71" t="str">
        <f>_xlfn.XLOOKUP(B71,Engpar!A:A,Engpar!C:C)</f>
        <v>LANDAU GARONG</v>
      </c>
      <c r="D71" t="str">
        <f>_xlfn.XLOOKUP(B71,Engpar!A:A,Engpar!F:F)</f>
        <v>KALIMANTAN BARAT</v>
      </c>
      <c r="E71" t="str">
        <f>_xlfn.XLOOKUP(B71,Engpar!A:A,Engpar!G:G)</f>
        <v>MELAWI</v>
      </c>
      <c r="F71">
        <f>_xlfn.XLOOKUP(B71,Engpar!A:A,Engpar!J:J)</f>
        <v>-0.50804000000000005</v>
      </c>
      <c r="G71">
        <f>_xlfn.XLOOKUP(B71,Engpar!A:A,Engpar!K:K)</f>
        <v>111.8493</v>
      </c>
      <c r="H71" t="str">
        <f>_xlfn.XLOOKUP(A71,Claim!C:C,Claim!I:I)</f>
        <v>Solar Charge Controller</v>
      </c>
      <c r="I71">
        <f>_xlfn.XLOOKUP(A71,Claim!C:C,Claim!J:J)</f>
        <v>1</v>
      </c>
      <c r="J71" t="str">
        <f>_xlfn.XLOOKUP(A71,Claim!C:C,Claim!M:M)</f>
        <v>PERBAIKAN_ASSET</v>
      </c>
      <c r="K71" t="str">
        <f>_xlfn.XLOOKUP(A71,Claim!C:C,Claim!O:O)</f>
        <v>Approved</v>
      </c>
      <c r="L71" t="str">
        <f>_xlfn.XLOOKUP(A71,Claim!C:C,Claim!P:P)</f>
        <v>Approved</v>
      </c>
      <c r="M71" t="str">
        <f>_xlfn.XLOOKUP(A71,Claim!C:C,Claim!Q:Q)</f>
        <v>KSO Pending</v>
      </c>
      <c r="N71" t="str" cm="1">
        <f t="array" ref="N71">_xlfn.IFS(
   OR(L71="Cancel", L71="Canceled", L71="Reject", L71="Rejected"), "Cancel / Rejected",
   AND(OR(J71="Request_Garansi", J71="Perbaikan_Asset"), OR(L71="Approved", L71="PMO Pending")), "MSS Need Send",
   TRUE, "Waiting Approval"
)</f>
        <v>MSS Need Send</v>
      </c>
      <c r="O71" t="str" cm="1">
        <f t="array" ref="O71">_xlfn.IFS(
   OR(M71="Cancel", M71="Canceled", M71="Reject", M71="Rejected", K71="Cancel", K71="Canceled", K71="Reject", K71="Rejected", L71="Cancel", L71="Canceled", L71="Reject", L71="Rejected"), "Cancel / Rejected",
   AND(OR(J71="Perbaikan_Asset"), OR(M71="KSO Pending")), "KSO Need Send",
   TRUE, "Waiting Approval"
)</f>
        <v>KSO Need Send</v>
      </c>
      <c r="P71" t="s">
        <v>1406</v>
      </c>
      <c r="Q71" t="str" cm="1">
        <f t="array" ref="Q71">_xlfn.IFS(
   OR(M71="Cancel", M71="Canceled", M71="Reject", M71="Rejected", K71="Cancel", K71="Canceled", K71="Reject", K71="Rejected", L71="Cancel", L71="Canceled", L71="Reject", L71="Rejected"), "Cancel / Rejected",
   P71&lt;&gt;"", "MSS Done Send",
   N71="MSS Need Send", "MSS Need Send",
   TRUE, "Waiting Approval"
)</f>
        <v>MSS Done Send</v>
      </c>
      <c r="S71" t="str" cm="1">
        <f t="array" ref="S71">_xlfn.IFS(
   OR(M71="Cancel", M71="Canceled", M71="Reject", M71="Rejected", K71="Cancel", K71="Canceled", K71="Reject", K71="Rejected", L71="Cancel", L71="Canceled", L71="Reject", L71="Rejected"), "Cancel / Rejected",
   R71&lt;&gt;"", "KSO Done Send",
   Q71="MSS Need Send", "MSS Need Send",
   O71="KSO Need Send", "KSO Need Send",
   TRUE, "Waiting Approval"
)</f>
        <v>KSO Need Send</v>
      </c>
    </row>
    <row r="72" spans="1:19" x14ac:dyDescent="0.25">
      <c r="A72" s="1" t="s">
        <v>92</v>
      </c>
      <c r="B72" s="1" t="s">
        <v>91</v>
      </c>
      <c r="C72" t="str">
        <f>_xlfn.XLOOKUP(B72,Engpar!A:A,Engpar!C:C)</f>
        <v>SUNGAI RISAP MENSIKU BERSATU</v>
      </c>
      <c r="D72" t="str">
        <f>_xlfn.XLOOKUP(B72,Engpar!A:A,Engpar!F:F)</f>
        <v>KALIMANTAN BARAT</v>
      </c>
      <c r="E72" t="str">
        <f>_xlfn.XLOOKUP(B72,Engpar!A:A,Engpar!G:G)</f>
        <v>SINTANG</v>
      </c>
      <c r="F72">
        <f>_xlfn.XLOOKUP(B72,Engpar!A:A,Engpar!J:J)</f>
        <v>0.24529999999999999</v>
      </c>
      <c r="G72">
        <f>_xlfn.XLOOKUP(B72,Engpar!A:A,Engpar!K:K)</f>
        <v>111.43951</v>
      </c>
      <c r="H72" t="str">
        <f>_xlfn.XLOOKUP(A72,Claim!C:C,Claim!I:I)</f>
        <v>INVERTER 300 W</v>
      </c>
      <c r="I72">
        <f>_xlfn.XLOOKUP(A72,Claim!C:C,Claim!J:J)</f>
        <v>1</v>
      </c>
      <c r="J72" t="str">
        <f>_xlfn.XLOOKUP(A72,Claim!C:C,Claim!M:M)</f>
        <v>PRE_APPROVAL</v>
      </c>
      <c r="K72" t="str">
        <f>_xlfn.XLOOKUP(A72,Claim!C:C,Claim!O:O)</f>
        <v>Rejected</v>
      </c>
      <c r="L72" t="str">
        <f>_xlfn.XLOOKUP(A72,Claim!C:C,Claim!P:P)</f>
        <v>-</v>
      </c>
      <c r="M72" t="str">
        <f>_xlfn.XLOOKUP(A72,Claim!C:C,Claim!Q:Q)</f>
        <v>-</v>
      </c>
      <c r="N72" t="str" cm="1">
        <f t="array" ref="N72">_xlfn.IFS(
   OR(L72="Cancel", L72="Canceled", L72="Reject", L72="Rejected"), "Cancel / Rejected",
   AND(OR(J72="Request_Garansi", J72="Perbaikan_Asset"), OR(L72="Approved", L72="PMO Pending")), "MSS Need Send",
   TRUE, "Waiting Approval"
)</f>
        <v>Waiting Approval</v>
      </c>
      <c r="O72" t="str" cm="1">
        <f t="array" ref="O72">_xlfn.IFS(
   OR(M72="Cancel", M72="Canceled", M72="Reject", M72="Rejected", K72="Cancel", K72="Canceled", K72="Reject", K72="Rejected", L72="Cancel", L72="Canceled", L72="Reject", L72="Rejected"), "Cancel / Rejected",
   AND(OR(J72="Perbaikan_Asset"), OR(M72="KSO Pending")), "KSO Need Send",
   TRUE, "Waiting Approval"
)</f>
        <v>Cancel / Rejected</v>
      </c>
      <c r="Q72" t="str" cm="1">
        <f t="array" ref="Q72">_xlfn.IFS(
   OR(M72="Cancel", M72="Canceled", M72="Reject", M72="Rejected", K72="Cancel", K72="Canceled", K72="Reject", K72="Rejected", L72="Cancel", L72="Canceled", L72="Reject", L72="Rejected"), "Cancel / Rejected",
   P72&lt;&gt;"", "MSS Done Send",
   N72="MSS Need Send", "MSS Need Send",
   TRUE, "Waiting Approval"
)</f>
        <v>Cancel / Rejected</v>
      </c>
      <c r="S72" t="str" cm="1">
        <f t="array" ref="S72">_xlfn.IFS(
   OR(M72="Cancel", M72="Canceled", M72="Reject", M72="Rejected", K72="Cancel", K72="Canceled", K72="Reject", K72="Rejected", L72="Cancel", L72="Canceled", L72="Reject", L72="Rejected"), "Cancel / Rejected",
   R72&lt;&gt;"", "KSO Done Send",
   Q72="MSS Need Send", "MSS Need Send",
   O72="KSO Need Send", "KSO Need Send",
   TRUE, "Waiting Approval"
)</f>
        <v>Cancel / Rejected</v>
      </c>
    </row>
    <row r="73" spans="1:19" x14ac:dyDescent="0.25">
      <c r="A73" s="1" t="s">
        <v>96</v>
      </c>
      <c r="B73" s="1" t="s">
        <v>95</v>
      </c>
      <c r="C73" t="str">
        <f>_xlfn.XLOOKUP(B73,Engpar!A:A,Engpar!C:C)</f>
        <v>TUMBANG SALUANG</v>
      </c>
      <c r="D73" t="str">
        <f>_xlfn.XLOOKUP(B73,Engpar!A:A,Engpar!F:F)</f>
        <v>KALIMANTAN TENGAH</v>
      </c>
      <c r="E73" t="str">
        <f>_xlfn.XLOOKUP(B73,Engpar!A:A,Engpar!G:G)</f>
        <v>KOTAWARINGIN TIMUR</v>
      </c>
      <c r="F73">
        <f>_xlfn.XLOOKUP(B73,Engpar!A:A,Engpar!J:J)</f>
        <v>-1.5667</v>
      </c>
      <c r="G73">
        <f>_xlfn.XLOOKUP(B73,Engpar!A:A,Engpar!K:K)</f>
        <v>112.26349999999999</v>
      </c>
      <c r="H73" t="str">
        <f>_xlfn.XLOOKUP(A73,Claim!C:C,Claim!I:I)</f>
        <v>SWITCH/ROUTER</v>
      </c>
      <c r="I73">
        <f>_xlfn.XLOOKUP(A73,Claim!C:C,Claim!J:J)</f>
        <v>1</v>
      </c>
      <c r="J73" t="str">
        <f>_xlfn.XLOOKUP(A73,Claim!C:C,Claim!M:M)</f>
        <v>PERBAIKAN_ASSET</v>
      </c>
      <c r="K73" t="str">
        <f>_xlfn.XLOOKUP(A73,Claim!C:C,Claim!O:O)</f>
        <v>Approved</v>
      </c>
      <c r="L73" t="str">
        <f>_xlfn.XLOOKUP(A73,Claim!C:C,Claim!P:P)</f>
        <v>Approved</v>
      </c>
      <c r="M73" t="str">
        <f>_xlfn.XLOOKUP(A73,Claim!C:C,Claim!Q:Q)</f>
        <v>KSO Pending</v>
      </c>
      <c r="N73" t="str" cm="1">
        <f t="array" ref="N73">_xlfn.IFS(
   OR(L73="Cancel", L73="Canceled", L73="Reject", L73="Rejected"), "Cancel / Rejected",
   AND(OR(J73="Request_Garansi", J73="Perbaikan_Asset"), OR(L73="Approved", L73="PMO Pending")), "MSS Need Send",
   TRUE, "Waiting Approval"
)</f>
        <v>MSS Need Send</v>
      </c>
      <c r="O73" t="str" cm="1">
        <f t="array" ref="O73">_xlfn.IFS(
   OR(M73="Cancel", M73="Canceled", M73="Reject", M73="Rejected", K73="Cancel", K73="Canceled", K73="Reject", K73="Rejected", L73="Cancel", L73="Canceled", L73="Reject", L73="Rejected"), "Cancel / Rejected",
   AND(OR(J73="Perbaikan_Asset"), OR(M73="KSO Pending")), "KSO Need Send",
   TRUE, "Waiting Approval"
)</f>
        <v>KSO Need Send</v>
      </c>
      <c r="Q73" t="str" cm="1">
        <f t="array" ref="Q73">_xlfn.IFS(
   OR(M73="Cancel", M73="Canceled", M73="Reject", M73="Rejected", K73="Cancel", K73="Canceled", K73="Reject", K73="Rejected", L73="Cancel", L73="Canceled", L73="Reject", L73="Rejected"), "Cancel / Rejected",
   P73&lt;&gt;"", "MSS Done Send",
   N73="MSS Need Send", "MSS Need Send",
   TRUE, "Waiting Approval"
)</f>
        <v>MSS Need Send</v>
      </c>
      <c r="S73" t="str" cm="1">
        <f t="array" ref="S73">_xlfn.IFS(
   OR(M73="Cancel", M73="Canceled", M73="Reject", M73="Rejected", K73="Cancel", K73="Canceled", K73="Reject", K73="Rejected", L73="Cancel", L73="Canceled", L73="Reject", L73="Rejected"), "Cancel / Rejected",
   R73&lt;&gt;"", "KSO Done Send",
   Q73="MSS Need Send", "MSS Need Send",
   O73="KSO Need Send", "KSO Need Send",
   TRUE, "Waiting Approval"
)</f>
        <v>MSS Need Send</v>
      </c>
    </row>
    <row r="74" spans="1:19" x14ac:dyDescent="0.25">
      <c r="A74" s="1" t="s">
        <v>100</v>
      </c>
      <c r="B74" s="1" t="s">
        <v>99</v>
      </c>
      <c r="C74" t="str">
        <f>_xlfn.XLOOKUP(B74,Engpar!A:A,Engpar!C:C)</f>
        <v>RANTAU PUKA</v>
      </c>
      <c r="D74" t="str">
        <f>_xlfn.XLOOKUP(B74,Engpar!A:A,Engpar!F:F)</f>
        <v>KALIMANTAN TENGAH</v>
      </c>
      <c r="E74" t="str">
        <f>_xlfn.XLOOKUP(B74,Engpar!A:A,Engpar!G:G)</f>
        <v>KATINGAN</v>
      </c>
      <c r="F74">
        <f>_xlfn.XLOOKUP(B74,Engpar!A:A,Engpar!J:J)</f>
        <v>-1.01657</v>
      </c>
      <c r="G74">
        <f>_xlfn.XLOOKUP(B74,Engpar!A:A,Engpar!K:K)</f>
        <v>112.43725999999999</v>
      </c>
      <c r="H74" t="str">
        <f>_xlfn.XLOOKUP(A74,Claim!C:C,Claim!I:I)</f>
        <v>MODEM</v>
      </c>
      <c r="I74">
        <f>_xlfn.XLOOKUP(A74,Claim!C:C,Claim!J:J)</f>
        <v>1</v>
      </c>
      <c r="J74" t="str">
        <f>_xlfn.XLOOKUP(A74,Claim!C:C,Claim!M:M)</f>
        <v>PRE_APPROVAL</v>
      </c>
      <c r="K74" t="str">
        <f>_xlfn.XLOOKUP(A74,Claim!C:C,Claim!O:O)</f>
        <v>Rejected</v>
      </c>
      <c r="L74" t="str">
        <f>_xlfn.XLOOKUP(A74,Claim!C:C,Claim!P:P)</f>
        <v>-</v>
      </c>
      <c r="M74" t="str">
        <f>_xlfn.XLOOKUP(A74,Claim!C:C,Claim!Q:Q)</f>
        <v>-</v>
      </c>
      <c r="N74" t="str" cm="1">
        <f t="array" ref="N74">_xlfn.IFS(
   OR(L74="Cancel", L74="Canceled", L74="Reject", L74="Rejected"), "Cancel / Rejected",
   AND(OR(J74="Request_Garansi", J74="Perbaikan_Asset"), OR(L74="Approved", L74="PMO Pending")), "MSS Need Send",
   TRUE, "Waiting Approval"
)</f>
        <v>Waiting Approval</v>
      </c>
      <c r="O74" t="str" cm="1">
        <f t="array" ref="O74">_xlfn.IFS(
   OR(M74="Cancel", M74="Canceled", M74="Reject", M74="Rejected", K74="Cancel", K74="Canceled", K74="Reject", K74="Rejected", L74="Cancel", L74="Canceled", L74="Reject", L74="Rejected"), "Cancel / Rejected",
   AND(OR(J74="Perbaikan_Asset"), OR(M74="KSO Pending")), "KSO Need Send",
   TRUE, "Waiting Approval"
)</f>
        <v>Cancel / Rejected</v>
      </c>
      <c r="P74" t="s">
        <v>1405</v>
      </c>
      <c r="Q74" t="str" cm="1">
        <f t="array" ref="Q74">_xlfn.IFS(
   OR(M74="Cancel", M74="Canceled", M74="Reject", M74="Rejected", K74="Cancel", K74="Canceled", K74="Reject", K74="Rejected", L74="Cancel", L74="Canceled", L74="Reject", L74="Rejected"), "Cancel / Rejected",
   P74&lt;&gt;"", "MSS Done Send",
   N74="MSS Need Send", "MSS Need Send",
   TRUE, "Waiting Approval"
)</f>
        <v>Cancel / Rejected</v>
      </c>
      <c r="S74" t="str" cm="1">
        <f t="array" ref="S74">_xlfn.IFS(
   OR(M74="Cancel", M74="Canceled", M74="Reject", M74="Rejected", K74="Cancel", K74="Canceled", K74="Reject", K74="Rejected", L74="Cancel", L74="Canceled", L74="Reject", L74="Rejected"), "Cancel / Rejected",
   R74&lt;&gt;"", "KSO Done Send",
   Q74="MSS Need Send", "MSS Need Send",
   O74="KSO Need Send", "KSO Need Send",
   TRUE, "Waiting Approval"
)</f>
        <v>Cancel / Rejected</v>
      </c>
    </row>
    <row r="75" spans="1:19" x14ac:dyDescent="0.25">
      <c r="A75" s="1" t="s">
        <v>104</v>
      </c>
      <c r="B75" s="1" t="s">
        <v>103</v>
      </c>
      <c r="C75" t="str">
        <f>_xlfn.XLOOKUP(B75,Engpar!A:A,Engpar!C:C)</f>
        <v>SEPOYU</v>
      </c>
      <c r="D75" t="str">
        <f>_xlfn.XLOOKUP(B75,Engpar!A:A,Engpar!F:F)</f>
        <v>KALIMANTAN TENGAH</v>
      </c>
      <c r="E75" t="str">
        <f>_xlfn.XLOOKUP(B75,Engpar!A:A,Engpar!G:G)</f>
        <v>LAMANDAU</v>
      </c>
      <c r="F75">
        <f>_xlfn.XLOOKUP(B75,Engpar!A:A,Engpar!J:J)</f>
        <v>-1.6954199999999999</v>
      </c>
      <c r="G75">
        <f>_xlfn.XLOOKUP(B75,Engpar!A:A,Engpar!K:K)</f>
        <v>111.10114</v>
      </c>
      <c r="H75" t="str">
        <f>_xlfn.XLOOKUP(A75,Claim!C:C,Claim!I:I)</f>
        <v>MODEM</v>
      </c>
      <c r="I75">
        <f>_xlfn.XLOOKUP(A75,Claim!C:C,Claim!J:J)</f>
        <v>1</v>
      </c>
      <c r="J75" t="str">
        <f>_xlfn.XLOOKUP(A75,Claim!C:C,Claim!M:M)</f>
        <v>PRE_APPROVAL</v>
      </c>
      <c r="K75" t="str">
        <f>_xlfn.XLOOKUP(A75,Claim!C:C,Claim!O:O)</f>
        <v>Rejected</v>
      </c>
      <c r="L75" t="str">
        <f>_xlfn.XLOOKUP(A75,Claim!C:C,Claim!P:P)</f>
        <v>-</v>
      </c>
      <c r="M75" t="str">
        <f>_xlfn.XLOOKUP(A75,Claim!C:C,Claim!Q:Q)</f>
        <v>-</v>
      </c>
      <c r="N75" t="str" cm="1">
        <f t="array" ref="N75">_xlfn.IFS(
   OR(L75="Cancel", L75="Canceled", L75="Reject", L75="Rejected"), "Cancel / Rejected",
   AND(OR(J75="Request_Garansi", J75="Perbaikan_Asset"), OR(L75="Approved", L75="PMO Pending")), "MSS Need Send",
   TRUE, "Waiting Approval"
)</f>
        <v>Waiting Approval</v>
      </c>
      <c r="O75" t="str" cm="1">
        <f t="array" ref="O75">_xlfn.IFS(
   OR(M75="Cancel", M75="Canceled", M75="Reject", M75="Rejected", K75="Cancel", K75="Canceled", K75="Reject", K75="Rejected", L75="Cancel", L75="Canceled", L75="Reject", L75="Rejected"), "Cancel / Rejected",
   AND(OR(J75="Perbaikan_Asset"), OR(M75="KSO Pending")), "KSO Need Send",
   TRUE, "Waiting Approval"
)</f>
        <v>Cancel / Rejected</v>
      </c>
      <c r="P75" t="s">
        <v>1406</v>
      </c>
      <c r="Q75" t="str" cm="1">
        <f t="array" ref="Q75">_xlfn.IFS(
   OR(M75="Cancel", M75="Canceled", M75="Reject", M75="Rejected", K75="Cancel", K75="Canceled", K75="Reject", K75="Rejected", L75="Cancel", L75="Canceled", L75="Reject", L75="Rejected"), "Cancel / Rejected",
   P75&lt;&gt;"", "MSS Done Send",
   N75="MSS Need Send", "MSS Need Send",
   TRUE, "Waiting Approval"
)</f>
        <v>Cancel / Rejected</v>
      </c>
      <c r="S75" t="str" cm="1">
        <f t="array" ref="S75">_xlfn.IFS(
   OR(M75="Cancel", M75="Canceled", M75="Reject", M75="Rejected", K75="Cancel", K75="Canceled", K75="Reject", K75="Rejected", L75="Cancel", L75="Canceled", L75="Reject", L75="Rejected"), "Cancel / Rejected",
   R75&lt;&gt;"", "KSO Done Send",
   Q75="MSS Need Send", "MSS Need Send",
   O75="KSO Need Send", "KSO Need Send",
   TRUE, "Waiting Approval"
)</f>
        <v>Cancel / Rejected</v>
      </c>
    </row>
    <row r="76" spans="1:19" x14ac:dyDescent="0.25">
      <c r="A76" s="1" t="s">
        <v>107</v>
      </c>
      <c r="B76" s="1" t="s">
        <v>95</v>
      </c>
      <c r="C76" t="str">
        <f>_xlfn.XLOOKUP(B76,Engpar!A:A,Engpar!C:C)</f>
        <v>TUMBANG SALUANG</v>
      </c>
      <c r="D76" t="str">
        <f>_xlfn.XLOOKUP(B76,Engpar!A:A,Engpar!F:F)</f>
        <v>KALIMANTAN TENGAH</v>
      </c>
      <c r="E76" t="str">
        <f>_xlfn.XLOOKUP(B76,Engpar!A:A,Engpar!G:G)</f>
        <v>KOTAWARINGIN TIMUR</v>
      </c>
      <c r="F76">
        <f>_xlfn.XLOOKUP(B76,Engpar!A:A,Engpar!J:J)</f>
        <v>-1.5667</v>
      </c>
      <c r="G76">
        <f>_xlfn.XLOOKUP(B76,Engpar!A:A,Engpar!K:K)</f>
        <v>112.26349999999999</v>
      </c>
      <c r="H76" t="str">
        <f>_xlfn.XLOOKUP(A76,Claim!C:C,Claim!I:I)</f>
        <v>SWITCH/ROUTER</v>
      </c>
      <c r="I76">
        <f>_xlfn.XLOOKUP(A76,Claim!C:C,Claim!J:J)</f>
        <v>1</v>
      </c>
      <c r="J76" t="str">
        <f>_xlfn.XLOOKUP(A76,Claim!C:C,Claim!M:M)</f>
        <v>PRE_APPROVAL</v>
      </c>
      <c r="K76" t="str">
        <f>_xlfn.XLOOKUP(A76,Claim!C:C,Claim!O:O)</f>
        <v>Rejected</v>
      </c>
      <c r="L76" t="str">
        <f>_xlfn.XLOOKUP(A76,Claim!C:C,Claim!P:P)</f>
        <v>-</v>
      </c>
      <c r="M76" t="str">
        <f>_xlfn.XLOOKUP(A76,Claim!C:C,Claim!Q:Q)</f>
        <v>-</v>
      </c>
      <c r="N76" t="str" cm="1">
        <f t="array" ref="N76">_xlfn.IFS(
   OR(L76="Cancel", L76="Canceled", L76="Reject", L76="Rejected"), "Cancel / Rejected",
   AND(OR(J76="Request_Garansi", J76="Perbaikan_Asset"), OR(L76="Approved", L76="PMO Pending")), "MSS Need Send",
   TRUE, "Waiting Approval"
)</f>
        <v>Waiting Approval</v>
      </c>
      <c r="O76" t="str" cm="1">
        <f t="array" ref="O76">_xlfn.IFS(
   OR(M76="Cancel", M76="Canceled", M76="Reject", M76="Rejected", K76="Cancel", K76="Canceled", K76="Reject", K76="Rejected", L76="Cancel", L76="Canceled", L76="Reject", L76="Rejected"), "Cancel / Rejected",
   AND(OR(J76="Perbaikan_Asset"), OR(M76="KSO Pending")), "KSO Need Send",
   TRUE, "Waiting Approval"
)</f>
        <v>Cancel / Rejected</v>
      </c>
      <c r="Q76" t="str" cm="1">
        <f t="array" ref="Q76">_xlfn.IFS(
   OR(M76="Cancel", M76="Canceled", M76="Reject", M76="Rejected", K76="Cancel", K76="Canceled", K76="Reject", K76="Rejected", L76="Cancel", L76="Canceled", L76="Reject", L76="Rejected"), "Cancel / Rejected",
   P76&lt;&gt;"", "MSS Done Send",
   N76="MSS Need Send", "MSS Need Send",
   TRUE, "Waiting Approval"
)</f>
        <v>Cancel / Rejected</v>
      </c>
      <c r="S76" t="str" cm="1">
        <f t="array" ref="S76">_xlfn.IFS(
   OR(M76="Cancel", M76="Canceled", M76="Reject", M76="Rejected", K76="Cancel", K76="Canceled", K76="Reject", K76="Rejected", L76="Cancel", L76="Canceled", L76="Reject", L76="Rejected"), "Cancel / Rejected",
   R76&lt;&gt;"", "KSO Done Send",
   Q76="MSS Need Send", "MSS Need Send",
   O76="KSO Need Send", "KSO Need Send",
   TRUE, "Waiting Approval"
)</f>
        <v>Cancel / Rejected</v>
      </c>
    </row>
    <row r="77" spans="1:19" x14ac:dyDescent="0.25">
      <c r="A77" s="1" t="s">
        <v>111</v>
      </c>
      <c r="B77" s="1" t="s">
        <v>110</v>
      </c>
      <c r="C77" t="str">
        <f>_xlfn.XLOOKUP(B77,Engpar!A:A,Engpar!C:C)</f>
        <v>LANGGASON</v>
      </c>
      <c r="D77" t="str">
        <f>_xlfn.XLOOKUP(B77,Engpar!A:A,Engpar!F:F)</f>
        <v>KALIMANTAN UTARA</v>
      </c>
      <c r="E77" t="str">
        <f>_xlfn.XLOOKUP(B77,Engpar!A:A,Engpar!G:G)</f>
        <v>NUNUKAN</v>
      </c>
      <c r="F77">
        <f>_xlfn.XLOOKUP(B77,Engpar!A:A,Engpar!J:J)</f>
        <v>4.2814899999999998</v>
      </c>
      <c r="G77">
        <f>_xlfn.XLOOKUP(B77,Engpar!A:A,Engpar!K:K)</f>
        <v>116.26572</v>
      </c>
      <c r="H77" t="str">
        <f>_xlfn.XLOOKUP(A77,Claim!C:C,Claim!I:I)</f>
        <v>BUC</v>
      </c>
      <c r="I77">
        <f>_xlfn.XLOOKUP(A77,Claim!C:C,Claim!J:J)</f>
        <v>1</v>
      </c>
      <c r="J77" t="str">
        <f>_xlfn.XLOOKUP(A77,Claim!C:C,Claim!M:M)</f>
        <v>PERBAIKAN_ASSET</v>
      </c>
      <c r="K77" t="str">
        <f>_xlfn.XLOOKUP(A77,Claim!C:C,Claim!O:O)</f>
        <v>Approved</v>
      </c>
      <c r="L77" t="str">
        <f>_xlfn.XLOOKUP(A77,Claim!C:C,Claim!P:P)</f>
        <v>Approved</v>
      </c>
      <c r="M77" t="str">
        <f>_xlfn.XLOOKUP(A77,Claim!C:C,Claim!Q:Q)</f>
        <v>KSO Pending</v>
      </c>
      <c r="N77" t="str" cm="1">
        <f t="array" ref="N77">_xlfn.IFS(
   OR(L77="Cancel", L77="Canceled", L77="Reject", L77="Rejected"), "Cancel / Rejected",
   AND(OR(J77="Request_Garansi", J77="Perbaikan_Asset"), OR(L77="Approved", L77="PMO Pending")), "MSS Need Send",
   TRUE, "Waiting Approval"
)</f>
        <v>MSS Need Send</v>
      </c>
      <c r="O77" t="str" cm="1">
        <f t="array" ref="O77">_xlfn.IFS(
   OR(M77="Cancel", M77="Canceled", M77="Reject", M77="Rejected", K77="Cancel", K77="Canceled", K77="Reject", K77="Rejected", L77="Cancel", L77="Canceled", L77="Reject", L77="Rejected"), "Cancel / Rejected",
   AND(OR(J77="Perbaikan_Asset"), OR(M77="KSO Pending")), "KSO Need Send",
   TRUE, "Waiting Approval"
)</f>
        <v>KSO Need Send</v>
      </c>
      <c r="Q77" t="str" cm="1">
        <f t="array" ref="Q77">_xlfn.IFS(
   OR(M77="Cancel", M77="Canceled", M77="Reject", M77="Rejected", K77="Cancel", K77="Canceled", K77="Reject", K77="Rejected", L77="Cancel", L77="Canceled", L77="Reject", L77="Rejected"), "Cancel / Rejected",
   P77&lt;&gt;"", "MSS Done Send",
   N77="MSS Need Send", "MSS Need Send",
   TRUE, "Waiting Approval"
)</f>
        <v>MSS Need Send</v>
      </c>
      <c r="S77" t="str" cm="1">
        <f t="array" ref="S77">_xlfn.IFS(
   OR(M77="Cancel", M77="Canceled", M77="Reject", M77="Rejected", K77="Cancel", K77="Canceled", K77="Reject", K77="Rejected", L77="Cancel", L77="Canceled", L77="Reject", L77="Rejected"), "Cancel / Rejected",
   R77&lt;&gt;"", "KSO Done Send",
   Q77="MSS Need Send", "MSS Need Send",
   O77="KSO Need Send", "KSO Need Send",
   TRUE, "Waiting Approval"
)</f>
        <v>MSS Need Send</v>
      </c>
    </row>
    <row r="78" spans="1:19" x14ac:dyDescent="0.25">
      <c r="A78" s="1" t="s">
        <v>113</v>
      </c>
      <c r="B78" s="1" t="s">
        <v>99</v>
      </c>
      <c r="C78" t="str">
        <f>_xlfn.XLOOKUP(B78,Engpar!A:A,Engpar!C:C)</f>
        <v>RANTAU PUKA</v>
      </c>
      <c r="D78" t="str">
        <f>_xlfn.XLOOKUP(B78,Engpar!A:A,Engpar!F:F)</f>
        <v>KALIMANTAN TENGAH</v>
      </c>
      <c r="E78" t="str">
        <f>_xlfn.XLOOKUP(B78,Engpar!A:A,Engpar!G:G)</f>
        <v>KATINGAN</v>
      </c>
      <c r="F78">
        <f>_xlfn.XLOOKUP(B78,Engpar!A:A,Engpar!J:J)</f>
        <v>-1.01657</v>
      </c>
      <c r="G78">
        <f>_xlfn.XLOOKUP(B78,Engpar!A:A,Engpar!K:K)</f>
        <v>112.43725999999999</v>
      </c>
      <c r="H78" t="str">
        <f>_xlfn.XLOOKUP(A78,Claim!C:C,Claim!I:I)</f>
        <v>MODEM</v>
      </c>
      <c r="I78">
        <f>_xlfn.XLOOKUP(A78,Claim!C:C,Claim!J:J)</f>
        <v>1</v>
      </c>
      <c r="J78" t="str">
        <f>_xlfn.XLOOKUP(A78,Claim!C:C,Claim!M:M)</f>
        <v>PRE_APPROVAL</v>
      </c>
      <c r="K78" t="str">
        <f>_xlfn.XLOOKUP(A78,Claim!C:C,Claim!O:O)</f>
        <v>Rejected</v>
      </c>
      <c r="L78" t="str">
        <f>_xlfn.XLOOKUP(A78,Claim!C:C,Claim!P:P)</f>
        <v>-</v>
      </c>
      <c r="M78" t="str">
        <f>_xlfn.XLOOKUP(A78,Claim!C:C,Claim!Q:Q)</f>
        <v>-</v>
      </c>
      <c r="N78" t="str" cm="1">
        <f t="array" ref="N78">_xlfn.IFS(
   OR(L78="Cancel", L78="Canceled", L78="Reject", L78="Rejected"), "Cancel / Rejected",
   AND(OR(J78="Request_Garansi", J78="Perbaikan_Asset"), OR(L78="Approved", L78="PMO Pending")), "MSS Need Send",
   TRUE, "Waiting Approval"
)</f>
        <v>Waiting Approval</v>
      </c>
      <c r="O78" t="str" cm="1">
        <f t="array" ref="O78">_xlfn.IFS(
   OR(M78="Cancel", M78="Canceled", M78="Reject", M78="Rejected", K78="Cancel", K78="Canceled", K78="Reject", K78="Rejected", L78="Cancel", L78="Canceled", L78="Reject", L78="Rejected"), "Cancel / Rejected",
   AND(OR(J78="Perbaikan_Asset"), OR(M78="KSO Pending")), "KSO Need Send",
   TRUE, "Waiting Approval"
)</f>
        <v>Cancel / Rejected</v>
      </c>
      <c r="Q78" t="str" cm="1">
        <f t="array" ref="Q78">_xlfn.IFS(
   OR(M78="Cancel", M78="Canceled", M78="Reject", M78="Rejected", K78="Cancel", K78="Canceled", K78="Reject", K78="Rejected", L78="Cancel", L78="Canceled", L78="Reject", L78="Rejected"), "Cancel / Rejected",
   P78&lt;&gt;"", "MSS Done Send",
   N78="MSS Need Send", "MSS Need Send",
   TRUE, "Waiting Approval"
)</f>
        <v>Cancel / Rejected</v>
      </c>
      <c r="S78" t="str" cm="1">
        <f t="array" ref="S78">_xlfn.IFS(
   OR(M78="Cancel", M78="Canceled", M78="Reject", M78="Rejected", K78="Cancel", K78="Canceled", K78="Reject", K78="Rejected", L78="Cancel", L78="Canceled", L78="Reject", L78="Rejected"), "Cancel / Rejected",
   R78&lt;&gt;"", "KSO Done Send",
   Q78="MSS Need Send", "MSS Need Send",
   O78="KSO Need Send", "KSO Need Send",
   TRUE, "Waiting Approval"
)</f>
        <v>Cancel / Rejected</v>
      </c>
    </row>
    <row r="79" spans="1:19" x14ac:dyDescent="0.25">
      <c r="A79" s="1" t="s">
        <v>115</v>
      </c>
      <c r="B79" s="1" t="s">
        <v>103</v>
      </c>
      <c r="C79" t="str">
        <f>_xlfn.XLOOKUP(B79,Engpar!A:A,Engpar!C:C)</f>
        <v>SEPOYU</v>
      </c>
      <c r="D79" t="str">
        <f>_xlfn.XLOOKUP(B79,Engpar!A:A,Engpar!F:F)</f>
        <v>KALIMANTAN TENGAH</v>
      </c>
      <c r="E79" t="str">
        <f>_xlfn.XLOOKUP(B79,Engpar!A:A,Engpar!G:G)</f>
        <v>LAMANDAU</v>
      </c>
      <c r="F79">
        <f>_xlfn.XLOOKUP(B79,Engpar!A:A,Engpar!J:J)</f>
        <v>-1.6954199999999999</v>
      </c>
      <c r="G79">
        <f>_xlfn.XLOOKUP(B79,Engpar!A:A,Engpar!K:K)</f>
        <v>111.10114</v>
      </c>
      <c r="H79" t="str">
        <f>_xlfn.XLOOKUP(A79,Claim!C:C,Claim!I:I)</f>
        <v>MODEM</v>
      </c>
      <c r="I79">
        <f>_xlfn.XLOOKUP(A79,Claim!C:C,Claim!J:J)</f>
        <v>1</v>
      </c>
      <c r="J79" t="str">
        <f>_xlfn.XLOOKUP(A79,Claim!C:C,Claim!M:M)</f>
        <v>PRE_APPROVAL</v>
      </c>
      <c r="K79" t="str">
        <f>_xlfn.XLOOKUP(A79,Claim!C:C,Claim!O:O)</f>
        <v>Rejected</v>
      </c>
      <c r="L79" t="str">
        <f>_xlfn.XLOOKUP(A79,Claim!C:C,Claim!P:P)</f>
        <v>-</v>
      </c>
      <c r="M79" t="str">
        <f>_xlfn.XLOOKUP(A79,Claim!C:C,Claim!Q:Q)</f>
        <v>-</v>
      </c>
      <c r="N79" t="str" cm="1">
        <f t="array" ref="N79">_xlfn.IFS(
   OR(L79="Cancel", L79="Canceled", L79="Reject", L79="Rejected"), "Cancel / Rejected",
   AND(OR(J79="Request_Garansi", J79="Perbaikan_Asset"), OR(L79="Approved", L79="PMO Pending")), "MSS Need Send",
   TRUE, "Waiting Approval"
)</f>
        <v>Waiting Approval</v>
      </c>
      <c r="O79" t="str" cm="1">
        <f t="array" ref="O79">_xlfn.IFS(
   OR(M79="Cancel", M79="Canceled", M79="Reject", M79="Rejected", K79="Cancel", K79="Canceled", K79="Reject", K79="Rejected", L79="Cancel", L79="Canceled", L79="Reject", L79="Rejected"), "Cancel / Rejected",
   AND(OR(J79="Perbaikan_Asset"), OR(M79="KSO Pending")), "KSO Need Send",
   TRUE, "Waiting Approval"
)</f>
        <v>Cancel / Rejected</v>
      </c>
      <c r="P79" t="s">
        <v>1404</v>
      </c>
      <c r="Q79" t="str" cm="1">
        <f t="array" ref="Q79">_xlfn.IFS(
   OR(M79="Cancel", M79="Canceled", M79="Reject", M79="Rejected", K79="Cancel", K79="Canceled", K79="Reject", K79="Rejected", L79="Cancel", L79="Canceled", L79="Reject", L79="Rejected"), "Cancel / Rejected",
   P79&lt;&gt;"", "MSS Done Send",
   N79="MSS Need Send", "MSS Need Send",
   TRUE, "Waiting Approval"
)</f>
        <v>Cancel / Rejected</v>
      </c>
      <c r="S79" t="str" cm="1">
        <f t="array" ref="S79">_xlfn.IFS(
   OR(M79="Cancel", M79="Canceled", M79="Reject", M79="Rejected", K79="Cancel", K79="Canceled", K79="Reject", K79="Rejected", L79="Cancel", L79="Canceled", L79="Reject", L79="Rejected"), "Cancel / Rejected",
   R79&lt;&gt;"", "KSO Done Send",
   Q79="MSS Need Send", "MSS Need Send",
   O79="KSO Need Send", "KSO Need Send",
   TRUE, "Waiting Approval"
)</f>
        <v>Cancel / Rejected</v>
      </c>
    </row>
    <row r="80" spans="1:19" x14ac:dyDescent="0.25">
      <c r="A80" s="1" t="s">
        <v>117</v>
      </c>
      <c r="B80" s="1" t="s">
        <v>91</v>
      </c>
      <c r="C80" t="str">
        <f>_xlfn.XLOOKUP(B80,Engpar!A:A,Engpar!C:C)</f>
        <v>SUNGAI RISAP MENSIKU BERSATU</v>
      </c>
      <c r="D80" t="str">
        <f>_xlfn.XLOOKUP(B80,Engpar!A:A,Engpar!F:F)</f>
        <v>KALIMANTAN BARAT</v>
      </c>
      <c r="E80" t="str">
        <f>_xlfn.XLOOKUP(B80,Engpar!A:A,Engpar!G:G)</f>
        <v>SINTANG</v>
      </c>
      <c r="F80">
        <f>_xlfn.XLOOKUP(B80,Engpar!A:A,Engpar!J:J)</f>
        <v>0.24529999999999999</v>
      </c>
      <c r="G80">
        <f>_xlfn.XLOOKUP(B80,Engpar!A:A,Engpar!K:K)</f>
        <v>111.43951</v>
      </c>
      <c r="H80" t="str">
        <f>_xlfn.XLOOKUP(A80,Claim!C:C,Claim!I:I)</f>
        <v>INVERTER 300 W</v>
      </c>
      <c r="I80">
        <f>_xlfn.XLOOKUP(A80,Claim!C:C,Claim!J:J)</f>
        <v>1</v>
      </c>
      <c r="J80" t="str">
        <f>_xlfn.XLOOKUP(A80,Claim!C:C,Claim!M:M)</f>
        <v>PRE_APPROVAL</v>
      </c>
      <c r="K80" t="str">
        <f>_xlfn.XLOOKUP(A80,Claim!C:C,Claim!O:O)</f>
        <v>Rejected</v>
      </c>
      <c r="L80" t="str">
        <f>_xlfn.XLOOKUP(A80,Claim!C:C,Claim!P:P)</f>
        <v>-</v>
      </c>
      <c r="M80" t="str">
        <f>_xlfn.XLOOKUP(A80,Claim!C:C,Claim!Q:Q)</f>
        <v>-</v>
      </c>
      <c r="N80" t="str" cm="1">
        <f t="array" ref="N80">_xlfn.IFS(
   OR(L80="Cancel", L80="Canceled", L80="Reject", L80="Rejected"), "Cancel / Rejected",
   AND(OR(J80="Request_Garansi", J80="Perbaikan_Asset"), OR(L80="Approved", L80="PMO Pending")), "MSS Need Send",
   TRUE, "Waiting Approval"
)</f>
        <v>Waiting Approval</v>
      </c>
      <c r="O80" t="str" cm="1">
        <f t="array" ref="O80">_xlfn.IFS(
   OR(M80="Cancel", M80="Canceled", M80="Reject", M80="Rejected", K80="Cancel", K80="Canceled", K80="Reject", K80="Rejected", L80="Cancel", L80="Canceled", L80="Reject", L80="Rejected"), "Cancel / Rejected",
   AND(OR(J80="Perbaikan_Asset"), OR(M80="KSO Pending")), "KSO Need Send",
   TRUE, "Waiting Approval"
)</f>
        <v>Cancel / Rejected</v>
      </c>
      <c r="P80" t="s">
        <v>1404</v>
      </c>
      <c r="Q80" t="str" cm="1">
        <f t="array" ref="Q80">_xlfn.IFS(
   OR(M80="Cancel", M80="Canceled", M80="Reject", M80="Rejected", K80="Cancel", K80="Canceled", K80="Reject", K80="Rejected", L80="Cancel", L80="Canceled", L80="Reject", L80="Rejected"), "Cancel / Rejected",
   P80&lt;&gt;"", "MSS Done Send",
   N80="MSS Need Send", "MSS Need Send",
   TRUE, "Waiting Approval"
)</f>
        <v>Cancel / Rejected</v>
      </c>
      <c r="S80" t="str" cm="1">
        <f t="array" ref="S80">_xlfn.IFS(
   OR(M80="Cancel", M80="Canceled", M80="Reject", M80="Rejected", K80="Cancel", K80="Canceled", K80="Reject", K80="Rejected", L80="Cancel", L80="Canceled", L80="Reject", L80="Rejected"), "Cancel / Rejected",
   R80&lt;&gt;"", "KSO Done Send",
   Q80="MSS Need Send", "MSS Need Send",
   O80="KSO Need Send", "KSO Need Send",
   TRUE, "Waiting Approval"
)</f>
        <v>Cancel / Rejected</v>
      </c>
    </row>
    <row r="81" spans="1:19" x14ac:dyDescent="0.25">
      <c r="A81" s="1" t="s">
        <v>119</v>
      </c>
      <c r="B81" s="1" t="s">
        <v>103</v>
      </c>
      <c r="C81" t="str">
        <f>_xlfn.XLOOKUP(B81,Engpar!A:A,Engpar!C:C)</f>
        <v>SEPOYU</v>
      </c>
      <c r="D81" t="str">
        <f>_xlfn.XLOOKUP(B81,Engpar!A:A,Engpar!F:F)</f>
        <v>KALIMANTAN TENGAH</v>
      </c>
      <c r="E81" t="str">
        <f>_xlfn.XLOOKUP(B81,Engpar!A:A,Engpar!G:G)</f>
        <v>LAMANDAU</v>
      </c>
      <c r="F81">
        <f>_xlfn.XLOOKUP(B81,Engpar!A:A,Engpar!J:J)</f>
        <v>-1.6954199999999999</v>
      </c>
      <c r="G81">
        <f>_xlfn.XLOOKUP(B81,Engpar!A:A,Engpar!K:K)</f>
        <v>111.10114</v>
      </c>
      <c r="H81" t="str">
        <f>_xlfn.XLOOKUP(A81,Claim!C:C,Claim!I:I)</f>
        <v>BUC</v>
      </c>
      <c r="I81">
        <f>_xlfn.XLOOKUP(A81,Claim!C:C,Claim!J:J)</f>
        <v>1</v>
      </c>
      <c r="J81" t="str">
        <f>_xlfn.XLOOKUP(A81,Claim!C:C,Claim!M:M)</f>
        <v>PERBAIKAN_ASSET</v>
      </c>
      <c r="K81" t="str">
        <f>_xlfn.XLOOKUP(A81,Claim!C:C,Claim!O:O)</f>
        <v>Approved</v>
      </c>
      <c r="L81" t="str">
        <f>_xlfn.XLOOKUP(A81,Claim!C:C,Claim!P:P)</f>
        <v>Approved</v>
      </c>
      <c r="M81" t="str">
        <f>_xlfn.XLOOKUP(A81,Claim!C:C,Claim!Q:Q)</f>
        <v>KSO Pending</v>
      </c>
      <c r="N81" t="str" cm="1">
        <f t="array" ref="N81">_xlfn.IFS(
   OR(L81="Cancel", L81="Canceled", L81="Reject", L81="Rejected"), "Cancel / Rejected",
   AND(OR(J81="Request_Garansi", J81="Perbaikan_Asset"), OR(L81="Approved", L81="PMO Pending")), "MSS Need Send",
   TRUE, "Waiting Approval"
)</f>
        <v>MSS Need Send</v>
      </c>
      <c r="O81" t="str" cm="1">
        <f t="array" ref="O81">_xlfn.IFS(
   OR(M81="Cancel", M81="Canceled", M81="Reject", M81="Rejected", K81="Cancel", K81="Canceled", K81="Reject", K81="Rejected", L81="Cancel", L81="Canceled", L81="Reject", L81="Rejected"), "Cancel / Rejected",
   AND(OR(J81="Perbaikan_Asset"), OR(M81="KSO Pending")), "KSO Need Send",
   TRUE, "Waiting Approval"
)</f>
        <v>KSO Need Send</v>
      </c>
      <c r="Q81" t="str" cm="1">
        <f t="array" ref="Q81">_xlfn.IFS(
   OR(M81="Cancel", M81="Canceled", M81="Reject", M81="Rejected", K81="Cancel", K81="Canceled", K81="Reject", K81="Rejected", L81="Cancel", L81="Canceled", L81="Reject", L81="Rejected"), "Cancel / Rejected",
   P81&lt;&gt;"", "MSS Done Send",
   N81="MSS Need Send", "MSS Need Send",
   TRUE, "Waiting Approval"
)</f>
        <v>MSS Need Send</v>
      </c>
      <c r="S81" t="str" cm="1">
        <f t="array" ref="S81">_xlfn.IFS(
   OR(M81="Cancel", M81="Canceled", M81="Reject", M81="Rejected", K81="Cancel", K81="Canceled", K81="Reject", K81="Rejected", L81="Cancel", L81="Canceled", L81="Reject", L81="Rejected"), "Cancel / Rejected",
   R81&lt;&gt;"", "KSO Done Send",
   Q81="MSS Need Send", "MSS Need Send",
   O81="KSO Need Send", "KSO Need Send",
   TRUE, "Waiting Approval"
)</f>
        <v>MSS Need Send</v>
      </c>
    </row>
    <row r="82" spans="1:19" x14ac:dyDescent="0.25">
      <c r="A82" s="1" t="s">
        <v>121</v>
      </c>
      <c r="B82" s="1" t="s">
        <v>95</v>
      </c>
      <c r="C82" t="str">
        <f>_xlfn.XLOOKUP(B82,Engpar!A:A,Engpar!C:C)</f>
        <v>TUMBANG SALUANG</v>
      </c>
      <c r="D82" t="str">
        <f>_xlfn.XLOOKUP(B82,Engpar!A:A,Engpar!F:F)</f>
        <v>KALIMANTAN TENGAH</v>
      </c>
      <c r="E82" t="str">
        <f>_xlfn.XLOOKUP(B82,Engpar!A:A,Engpar!G:G)</f>
        <v>KOTAWARINGIN TIMUR</v>
      </c>
      <c r="F82">
        <f>_xlfn.XLOOKUP(B82,Engpar!A:A,Engpar!J:J)</f>
        <v>-1.5667</v>
      </c>
      <c r="G82">
        <f>_xlfn.XLOOKUP(B82,Engpar!A:A,Engpar!K:K)</f>
        <v>112.26349999999999</v>
      </c>
      <c r="H82" t="str">
        <f>_xlfn.XLOOKUP(A82,Claim!C:C,Claim!I:I)</f>
        <v>SWITCH/ROUTER</v>
      </c>
      <c r="I82">
        <f>_xlfn.XLOOKUP(A82,Claim!C:C,Claim!J:J)</f>
        <v>1</v>
      </c>
      <c r="J82" t="str">
        <f>_xlfn.XLOOKUP(A82,Claim!C:C,Claim!M:M)</f>
        <v>PRE_APPROVAL</v>
      </c>
      <c r="K82" t="str">
        <f>_xlfn.XLOOKUP(A82,Claim!C:C,Claim!O:O)</f>
        <v>Rejected</v>
      </c>
      <c r="L82" t="str">
        <f>_xlfn.XLOOKUP(A82,Claim!C:C,Claim!P:P)</f>
        <v>-</v>
      </c>
      <c r="M82" t="str">
        <f>_xlfn.XLOOKUP(A82,Claim!C:C,Claim!Q:Q)</f>
        <v>-</v>
      </c>
      <c r="N82" t="str" cm="1">
        <f t="array" ref="N82">_xlfn.IFS(
   OR(L82="Cancel", L82="Canceled", L82="Reject", L82="Rejected"), "Cancel / Rejected",
   AND(OR(J82="Request_Garansi", J82="Perbaikan_Asset"), OR(L82="Approved", L82="PMO Pending")), "MSS Need Send",
   TRUE, "Waiting Approval"
)</f>
        <v>Waiting Approval</v>
      </c>
      <c r="O82" t="str" cm="1">
        <f t="array" ref="O82">_xlfn.IFS(
   OR(M82="Cancel", M82="Canceled", M82="Reject", M82="Rejected", K82="Cancel", K82="Canceled", K82="Reject", K82="Rejected", L82="Cancel", L82="Canceled", L82="Reject", L82="Rejected"), "Cancel / Rejected",
   AND(OR(J82="Perbaikan_Asset"), OR(M82="KSO Pending")), "KSO Need Send",
   TRUE, "Waiting Approval"
)</f>
        <v>Cancel / Rejected</v>
      </c>
      <c r="Q82" t="str" cm="1">
        <f t="array" ref="Q82">_xlfn.IFS(
   OR(M82="Cancel", M82="Canceled", M82="Reject", M82="Rejected", K82="Cancel", K82="Canceled", K82="Reject", K82="Rejected", L82="Cancel", L82="Canceled", L82="Reject", L82="Rejected"), "Cancel / Rejected",
   P82&lt;&gt;"", "MSS Done Send",
   N82="MSS Need Send", "MSS Need Send",
   TRUE, "Waiting Approval"
)</f>
        <v>Cancel / Rejected</v>
      </c>
      <c r="S82" t="str" cm="1">
        <f t="array" ref="S82">_xlfn.IFS(
   OR(M82="Cancel", M82="Canceled", M82="Reject", M82="Rejected", K82="Cancel", K82="Canceled", K82="Reject", K82="Rejected", L82="Cancel", L82="Canceled", L82="Reject", L82="Rejected"), "Cancel / Rejected",
   R82&lt;&gt;"", "KSO Done Send",
   Q82="MSS Need Send", "MSS Need Send",
   O82="KSO Need Send", "KSO Need Send",
   TRUE, "Waiting Approval"
)</f>
        <v>Cancel / Rejected</v>
      </c>
    </row>
    <row r="83" spans="1:19" x14ac:dyDescent="0.25">
      <c r="A83" s="1" t="s">
        <v>124</v>
      </c>
      <c r="B83" s="1" t="s">
        <v>110</v>
      </c>
      <c r="C83" t="str">
        <f>_xlfn.XLOOKUP(B83,Engpar!A:A,Engpar!C:C)</f>
        <v>LANGGASON</v>
      </c>
      <c r="D83" t="str">
        <f>_xlfn.XLOOKUP(B83,Engpar!A:A,Engpar!F:F)</f>
        <v>KALIMANTAN UTARA</v>
      </c>
      <c r="E83" t="str">
        <f>_xlfn.XLOOKUP(B83,Engpar!A:A,Engpar!G:G)</f>
        <v>NUNUKAN</v>
      </c>
      <c r="F83">
        <f>_xlfn.XLOOKUP(B83,Engpar!A:A,Engpar!J:J)</f>
        <v>4.2814899999999998</v>
      </c>
      <c r="G83">
        <f>_xlfn.XLOOKUP(B83,Engpar!A:A,Engpar!K:K)</f>
        <v>116.26572</v>
      </c>
      <c r="H83" t="str">
        <f>_xlfn.XLOOKUP(A83,Claim!C:C,Claim!I:I)</f>
        <v>LNB</v>
      </c>
      <c r="I83">
        <f>_xlfn.XLOOKUP(A83,Claim!C:C,Claim!J:J)</f>
        <v>1</v>
      </c>
      <c r="J83" t="str">
        <f>_xlfn.XLOOKUP(A83,Claim!C:C,Claim!M:M)</f>
        <v>PERBAIKAN_ASSET</v>
      </c>
      <c r="K83" t="str">
        <f>_xlfn.XLOOKUP(A83,Claim!C:C,Claim!O:O)</f>
        <v>Approved</v>
      </c>
      <c r="L83" t="str">
        <f>_xlfn.XLOOKUP(A83,Claim!C:C,Claim!P:P)</f>
        <v>Approved</v>
      </c>
      <c r="M83" t="str">
        <f>_xlfn.XLOOKUP(A83,Claim!C:C,Claim!Q:Q)</f>
        <v>KSO Pending</v>
      </c>
      <c r="N83" t="str" cm="1">
        <f t="array" ref="N83">_xlfn.IFS(
   OR(L83="Cancel", L83="Canceled", L83="Reject", L83="Rejected"), "Cancel / Rejected",
   AND(OR(J83="Request_Garansi", J83="Perbaikan_Asset"), OR(L83="Approved", L83="PMO Pending")), "MSS Need Send",
   TRUE, "Waiting Approval"
)</f>
        <v>MSS Need Send</v>
      </c>
      <c r="O83" t="str" cm="1">
        <f t="array" ref="O83">_xlfn.IFS(
   OR(M83="Cancel", M83="Canceled", M83="Reject", M83="Rejected", K83="Cancel", K83="Canceled", K83="Reject", K83="Rejected", L83="Cancel", L83="Canceled", L83="Reject", L83="Rejected"), "Cancel / Rejected",
   AND(OR(J83="Perbaikan_Asset"), OR(M83="KSO Pending")), "KSO Need Send",
   TRUE, "Waiting Approval"
)</f>
        <v>KSO Need Send</v>
      </c>
      <c r="P83" t="s">
        <v>1405</v>
      </c>
      <c r="Q83" t="str" cm="1">
        <f t="array" ref="Q83">_xlfn.IFS(
   OR(M83="Cancel", M83="Canceled", M83="Reject", M83="Rejected", K83="Cancel", K83="Canceled", K83="Reject", K83="Rejected", L83="Cancel", L83="Canceled", L83="Reject", L83="Rejected"), "Cancel / Rejected",
   P83&lt;&gt;"", "MSS Done Send",
   N83="MSS Need Send", "MSS Need Send",
   TRUE, "Waiting Approval"
)</f>
        <v>MSS Done Send</v>
      </c>
      <c r="S83" t="str" cm="1">
        <f t="array" ref="S83">_xlfn.IFS(
   OR(M83="Cancel", M83="Canceled", M83="Reject", M83="Rejected", K83="Cancel", K83="Canceled", K83="Reject", K83="Rejected", L83="Cancel", L83="Canceled", L83="Reject", L83="Rejected"), "Cancel / Rejected",
   R83&lt;&gt;"", "KSO Done Send",
   Q83="MSS Need Send", "MSS Need Send",
   O83="KSO Need Send", "KSO Need Send",
   TRUE, "Waiting Approval"
)</f>
        <v>KSO Need Send</v>
      </c>
    </row>
    <row r="84" spans="1:19" x14ac:dyDescent="0.25">
      <c r="A84" s="1" t="s">
        <v>127</v>
      </c>
      <c r="B84" s="1" t="s">
        <v>110</v>
      </c>
      <c r="C84" t="str">
        <f>_xlfn.XLOOKUP(B84,Engpar!A:A,Engpar!C:C)</f>
        <v>LANGGASON</v>
      </c>
      <c r="D84" t="str">
        <f>_xlfn.XLOOKUP(B84,Engpar!A:A,Engpar!F:F)</f>
        <v>KALIMANTAN UTARA</v>
      </c>
      <c r="E84" t="str">
        <f>_xlfn.XLOOKUP(B84,Engpar!A:A,Engpar!G:G)</f>
        <v>NUNUKAN</v>
      </c>
      <c r="F84">
        <f>_xlfn.XLOOKUP(B84,Engpar!A:A,Engpar!J:J)</f>
        <v>4.2814899999999998</v>
      </c>
      <c r="G84">
        <f>_xlfn.XLOOKUP(B84,Engpar!A:A,Engpar!K:K)</f>
        <v>116.26572</v>
      </c>
      <c r="H84" t="str">
        <f>_xlfn.XLOOKUP(A84,Claim!C:C,Claim!I:I)</f>
        <v>BUC</v>
      </c>
      <c r="I84">
        <f>_xlfn.XLOOKUP(A84,Claim!C:C,Claim!J:J)</f>
        <v>1</v>
      </c>
      <c r="J84" t="str">
        <f>_xlfn.XLOOKUP(A84,Claim!C:C,Claim!M:M)</f>
        <v>PRE_APPROVAL</v>
      </c>
      <c r="K84" t="str">
        <f>_xlfn.XLOOKUP(A84,Claim!C:C,Claim!O:O)</f>
        <v>Rejected</v>
      </c>
      <c r="L84" t="str">
        <f>_xlfn.XLOOKUP(A84,Claim!C:C,Claim!P:P)</f>
        <v>-</v>
      </c>
      <c r="M84" t="str">
        <f>_xlfn.XLOOKUP(A84,Claim!C:C,Claim!Q:Q)</f>
        <v>-</v>
      </c>
      <c r="N84" t="str" cm="1">
        <f t="array" ref="N84">_xlfn.IFS(
   OR(L84="Cancel", L84="Canceled", L84="Reject", L84="Rejected"), "Cancel / Rejected",
   AND(OR(J84="Request_Garansi", J84="Perbaikan_Asset"), OR(L84="Approved", L84="PMO Pending")), "MSS Need Send",
   TRUE, "Waiting Approval"
)</f>
        <v>Waiting Approval</v>
      </c>
      <c r="O84" t="str" cm="1">
        <f t="array" ref="O84">_xlfn.IFS(
   OR(M84="Cancel", M84="Canceled", M84="Reject", M84="Rejected", K84="Cancel", K84="Canceled", K84="Reject", K84="Rejected", L84="Cancel", L84="Canceled", L84="Reject", L84="Rejected"), "Cancel / Rejected",
   AND(OR(J84="Perbaikan_Asset"), OR(M84="KSO Pending")), "KSO Need Send",
   TRUE, "Waiting Approval"
)</f>
        <v>Cancel / Rejected</v>
      </c>
      <c r="Q84" t="str" cm="1">
        <f t="array" ref="Q84">_xlfn.IFS(
   OR(M84="Cancel", M84="Canceled", M84="Reject", M84="Rejected", K84="Cancel", K84="Canceled", K84="Reject", K84="Rejected", L84="Cancel", L84="Canceled", L84="Reject", L84="Rejected"), "Cancel / Rejected",
   P84&lt;&gt;"", "MSS Done Send",
   N84="MSS Need Send", "MSS Need Send",
   TRUE, "Waiting Approval"
)</f>
        <v>Cancel / Rejected</v>
      </c>
      <c r="S84" t="str" cm="1">
        <f t="array" ref="S84">_xlfn.IFS(
   OR(M84="Cancel", M84="Canceled", M84="Reject", M84="Rejected", K84="Cancel", K84="Canceled", K84="Reject", K84="Rejected", L84="Cancel", L84="Canceled", L84="Reject", L84="Rejected"), "Cancel / Rejected",
   R84&lt;&gt;"", "KSO Done Send",
   Q84="MSS Need Send", "MSS Need Send",
   O84="KSO Need Send", "KSO Need Send",
   TRUE, "Waiting Approval"
)</f>
        <v>Cancel / Rejected</v>
      </c>
    </row>
    <row r="85" spans="1:19" x14ac:dyDescent="0.25">
      <c r="A85" s="1" t="s">
        <v>131</v>
      </c>
      <c r="B85" s="1" t="s">
        <v>130</v>
      </c>
      <c r="C85" t="str">
        <f>_xlfn.XLOOKUP(B85,Engpar!A:A,Engpar!C:C)</f>
        <v>TOGAN BARU</v>
      </c>
      <c r="D85" t="str">
        <f>_xlfn.XLOOKUP(B85,Engpar!A:A,Engpar!F:F)</f>
        <v>KALIMANTAN BARAT</v>
      </c>
      <c r="E85" t="str">
        <f>_xlfn.XLOOKUP(B85,Engpar!A:A,Engpar!G:G)</f>
        <v>MELAWI</v>
      </c>
      <c r="F85">
        <f>_xlfn.XLOOKUP(B85,Engpar!A:A,Engpar!J:J)</f>
        <v>-0.80069000000000001</v>
      </c>
      <c r="G85">
        <f>_xlfn.XLOOKUP(B85,Engpar!A:A,Engpar!K:K)</f>
        <v>111.37669</v>
      </c>
      <c r="H85" t="str">
        <f>_xlfn.XLOOKUP(A85,Claim!C:C,Claim!I:I)</f>
        <v>Battery</v>
      </c>
      <c r="I85">
        <f>_xlfn.XLOOKUP(A85,Claim!C:C,Claim!J:J)</f>
        <v>9</v>
      </c>
      <c r="J85" t="str">
        <f>_xlfn.XLOOKUP(A85,Claim!C:C,Claim!M:M)</f>
        <v>PERBAIKAN_ASSET</v>
      </c>
      <c r="K85" t="str">
        <f>_xlfn.XLOOKUP(A85,Claim!C:C,Claim!O:O)</f>
        <v>Approved</v>
      </c>
      <c r="L85" t="str">
        <f>_xlfn.XLOOKUP(A85,Claim!C:C,Claim!P:P)</f>
        <v>Approved</v>
      </c>
      <c r="M85" t="str">
        <f>_xlfn.XLOOKUP(A85,Claim!C:C,Claim!Q:Q)</f>
        <v>KSO Pending</v>
      </c>
      <c r="N85" t="str" cm="1">
        <f t="array" ref="N85">_xlfn.IFS(
   OR(L85="Cancel", L85="Canceled", L85="Reject", L85="Rejected"), "Cancel / Rejected",
   AND(OR(J85="Request_Garansi", J85="Perbaikan_Asset"), OR(L85="Approved", L85="PMO Pending")), "MSS Need Send",
   TRUE, "Waiting Approval"
)</f>
        <v>MSS Need Send</v>
      </c>
      <c r="O85" t="str" cm="1">
        <f t="array" ref="O85">_xlfn.IFS(
   OR(M85="Cancel", M85="Canceled", M85="Reject", M85="Rejected", K85="Cancel", K85="Canceled", K85="Reject", K85="Rejected", L85="Cancel", L85="Canceled", L85="Reject", L85="Rejected"), "Cancel / Rejected",
   AND(OR(J85="Perbaikan_Asset"), OR(M85="KSO Pending")), "KSO Need Send",
   TRUE, "Waiting Approval"
)</f>
        <v>KSO Need Send</v>
      </c>
      <c r="Q85" t="str" cm="1">
        <f t="array" ref="Q85">_xlfn.IFS(
   OR(M85="Cancel", M85="Canceled", M85="Reject", M85="Rejected", K85="Cancel", K85="Canceled", K85="Reject", K85="Rejected", L85="Cancel", L85="Canceled", L85="Reject", L85="Rejected"), "Cancel / Rejected",
   P85&lt;&gt;"", "MSS Done Send",
   N85="MSS Need Send", "MSS Need Send",
   TRUE, "Waiting Approval"
)</f>
        <v>MSS Need Send</v>
      </c>
      <c r="S85" t="str" cm="1">
        <f t="array" ref="S85">_xlfn.IFS(
   OR(M85="Cancel", M85="Canceled", M85="Reject", M85="Rejected", K85="Cancel", K85="Canceled", K85="Reject", K85="Rejected", L85="Cancel", L85="Canceled", L85="Reject", L85="Rejected"), "Cancel / Rejected",
   R85&lt;&gt;"", "KSO Done Send",
   Q85="MSS Need Send", "MSS Need Send",
   O85="KSO Need Send", "KSO Need Send",
   TRUE, "Waiting Approval"
)</f>
        <v>MSS Need Send</v>
      </c>
    </row>
    <row r="86" spans="1:19" x14ac:dyDescent="0.25">
      <c r="A86" s="1" t="s">
        <v>133</v>
      </c>
      <c r="B86" s="1" t="s">
        <v>99</v>
      </c>
      <c r="C86" t="str">
        <f>_xlfn.XLOOKUP(B86,Engpar!A:A,Engpar!C:C)</f>
        <v>RANTAU PUKA</v>
      </c>
      <c r="D86" t="str">
        <f>_xlfn.XLOOKUP(B86,Engpar!A:A,Engpar!F:F)</f>
        <v>KALIMANTAN TENGAH</v>
      </c>
      <c r="E86" t="str">
        <f>_xlfn.XLOOKUP(B86,Engpar!A:A,Engpar!G:G)</f>
        <v>KATINGAN</v>
      </c>
      <c r="F86">
        <f>_xlfn.XLOOKUP(B86,Engpar!A:A,Engpar!J:J)</f>
        <v>-1.01657</v>
      </c>
      <c r="G86">
        <f>_xlfn.XLOOKUP(B86,Engpar!A:A,Engpar!K:K)</f>
        <v>112.43725999999999</v>
      </c>
      <c r="H86" t="str">
        <f>_xlfn.XLOOKUP(A86,Claim!C:C,Claim!I:I)</f>
        <v>OBL LAMP</v>
      </c>
      <c r="I86">
        <f>_xlfn.XLOOKUP(A86,Claim!C:C,Claim!J:J)</f>
        <v>1</v>
      </c>
      <c r="J86" t="str">
        <f>_xlfn.XLOOKUP(A86,Claim!C:C,Claim!M:M)</f>
        <v>PERBAIKAN_ASSET</v>
      </c>
      <c r="K86" t="str">
        <f>_xlfn.XLOOKUP(A86,Claim!C:C,Claim!O:O)</f>
        <v>Approved</v>
      </c>
      <c r="L86" t="str">
        <f>_xlfn.XLOOKUP(A86,Claim!C:C,Claim!P:P)</f>
        <v>Approved</v>
      </c>
      <c r="M86" t="str">
        <f>_xlfn.XLOOKUP(A86,Claim!C:C,Claim!Q:Q)</f>
        <v>KSO Pending</v>
      </c>
      <c r="N86" t="str" cm="1">
        <f t="array" ref="N86">_xlfn.IFS(
   OR(L86="Cancel", L86="Canceled", L86="Reject", L86="Rejected"), "Cancel / Rejected",
   AND(OR(J86="Request_Garansi", J86="Perbaikan_Asset"), OR(L86="Approved", L86="PMO Pending")), "MSS Need Send",
   TRUE, "Waiting Approval"
)</f>
        <v>MSS Need Send</v>
      </c>
      <c r="O86" t="str" cm="1">
        <f t="array" ref="O86">_xlfn.IFS(
   OR(M86="Cancel", M86="Canceled", M86="Reject", M86="Rejected", K86="Cancel", K86="Canceled", K86="Reject", K86="Rejected", L86="Cancel", L86="Canceled", L86="Reject", L86="Rejected"), "Cancel / Rejected",
   AND(OR(J86="Perbaikan_Asset"), OR(M86="KSO Pending")), "KSO Need Send",
   TRUE, "Waiting Approval"
)</f>
        <v>KSO Need Send</v>
      </c>
      <c r="P86" t="s">
        <v>1406</v>
      </c>
      <c r="Q86" t="str" cm="1">
        <f t="array" ref="Q86">_xlfn.IFS(
   OR(M86="Cancel", M86="Canceled", M86="Reject", M86="Rejected", K86="Cancel", K86="Canceled", K86="Reject", K86="Rejected", L86="Cancel", L86="Canceled", L86="Reject", L86="Rejected"), "Cancel / Rejected",
   P86&lt;&gt;"", "MSS Done Send",
   N86="MSS Need Send", "MSS Need Send",
   TRUE, "Waiting Approval"
)</f>
        <v>MSS Done Send</v>
      </c>
      <c r="S86" t="str" cm="1">
        <f t="array" ref="S86">_xlfn.IFS(
   OR(M86="Cancel", M86="Canceled", M86="Reject", M86="Rejected", K86="Cancel", K86="Canceled", K86="Reject", K86="Rejected", L86="Cancel", L86="Canceled", L86="Reject", L86="Rejected"), "Cancel / Rejected",
   R86&lt;&gt;"", "KSO Done Send",
   Q86="MSS Need Send", "MSS Need Send",
   O86="KSO Need Send", "KSO Need Send",
   TRUE, "Waiting Approval"
)</f>
        <v>KSO Need Send</v>
      </c>
    </row>
    <row r="87" spans="1:19" x14ac:dyDescent="0.25">
      <c r="A87" s="1" t="s">
        <v>137</v>
      </c>
      <c r="B87" s="1" t="s">
        <v>99</v>
      </c>
      <c r="C87" t="str">
        <f>_xlfn.XLOOKUP(B87,Engpar!A:A,Engpar!C:C)</f>
        <v>RANTAU PUKA</v>
      </c>
      <c r="D87" t="str">
        <f>_xlfn.XLOOKUP(B87,Engpar!A:A,Engpar!F:F)</f>
        <v>KALIMANTAN TENGAH</v>
      </c>
      <c r="E87" t="str">
        <f>_xlfn.XLOOKUP(B87,Engpar!A:A,Engpar!G:G)</f>
        <v>KATINGAN</v>
      </c>
      <c r="F87">
        <f>_xlfn.XLOOKUP(B87,Engpar!A:A,Engpar!J:J)</f>
        <v>-1.01657</v>
      </c>
      <c r="G87">
        <f>_xlfn.XLOOKUP(B87,Engpar!A:A,Engpar!K:K)</f>
        <v>112.43725999999999</v>
      </c>
      <c r="H87" t="str">
        <f>_xlfn.XLOOKUP(A87,Claim!C:C,Claim!I:I)</f>
        <v>MODEM</v>
      </c>
      <c r="I87">
        <f>_xlfn.XLOOKUP(A87,Claim!C:C,Claim!J:J)</f>
        <v>1</v>
      </c>
      <c r="J87" t="str">
        <f>_xlfn.XLOOKUP(A87,Claim!C:C,Claim!M:M)</f>
        <v>PRE_APPROVAL</v>
      </c>
      <c r="K87" t="str">
        <f>_xlfn.XLOOKUP(A87,Claim!C:C,Claim!O:O)</f>
        <v>Rejected</v>
      </c>
      <c r="L87" t="str">
        <f>_xlfn.XLOOKUP(A87,Claim!C:C,Claim!P:P)</f>
        <v>-</v>
      </c>
      <c r="M87" t="str">
        <f>_xlfn.XLOOKUP(A87,Claim!C:C,Claim!Q:Q)</f>
        <v>-</v>
      </c>
      <c r="N87" t="str" cm="1">
        <f t="array" ref="N87">_xlfn.IFS(
   OR(L87="Cancel", L87="Canceled", L87="Reject", L87="Rejected"), "Cancel / Rejected",
   AND(OR(J87="Request_Garansi", J87="Perbaikan_Asset"), OR(L87="Approved", L87="PMO Pending")), "MSS Need Send",
   TRUE, "Waiting Approval"
)</f>
        <v>Waiting Approval</v>
      </c>
      <c r="O87" t="str" cm="1">
        <f t="array" ref="O87">_xlfn.IFS(
   OR(M87="Cancel", M87="Canceled", M87="Reject", M87="Rejected", K87="Cancel", K87="Canceled", K87="Reject", K87="Rejected", L87="Cancel", L87="Canceled", L87="Reject", L87="Rejected"), "Cancel / Rejected",
   AND(OR(J87="Perbaikan_Asset"), OR(M87="KSO Pending")), "KSO Need Send",
   TRUE, "Waiting Approval"
)</f>
        <v>Cancel / Rejected</v>
      </c>
      <c r="P87" t="s">
        <v>1406</v>
      </c>
      <c r="Q87" t="str" cm="1">
        <f t="array" ref="Q87">_xlfn.IFS(
   OR(M87="Cancel", M87="Canceled", M87="Reject", M87="Rejected", K87="Cancel", K87="Canceled", K87="Reject", K87="Rejected", L87="Cancel", L87="Canceled", L87="Reject", L87="Rejected"), "Cancel / Rejected",
   P87&lt;&gt;"", "MSS Done Send",
   N87="MSS Need Send", "MSS Need Send",
   TRUE, "Waiting Approval"
)</f>
        <v>Cancel / Rejected</v>
      </c>
      <c r="S87" t="str" cm="1">
        <f t="array" ref="S87">_xlfn.IFS(
   OR(M87="Cancel", M87="Canceled", M87="Reject", M87="Rejected", K87="Cancel", K87="Canceled", K87="Reject", K87="Rejected", L87="Cancel", L87="Canceled", L87="Reject", L87="Rejected"), "Cancel / Rejected",
   R87&lt;&gt;"", "KSO Done Send",
   Q87="MSS Need Send", "MSS Need Send",
   O87="KSO Need Send", "KSO Need Send",
   TRUE, "Waiting Approval"
)</f>
        <v>Cancel / Rejected</v>
      </c>
    </row>
    <row r="88" spans="1:19" x14ac:dyDescent="0.25">
      <c r="A88" s="1" t="s">
        <v>141</v>
      </c>
      <c r="B88" s="1" t="s">
        <v>140</v>
      </c>
      <c r="C88" t="str">
        <f>_xlfn.XLOOKUP(B88,Engpar!A:A,Engpar!C:C)</f>
        <v>BUKIT BULUH</v>
      </c>
      <c r="D88" t="str">
        <f>_xlfn.XLOOKUP(B88,Engpar!A:A,Engpar!F:F)</f>
        <v>KALIMANTAN TENGAH</v>
      </c>
      <c r="E88" t="str">
        <f>_xlfn.XLOOKUP(B88,Engpar!A:A,Engpar!G:G)</f>
        <v>SERUYAN</v>
      </c>
      <c r="F88">
        <f>_xlfn.XLOOKUP(B88,Engpar!A:A,Engpar!J:J)</f>
        <v>-1.97021</v>
      </c>
      <c r="G88">
        <f>_xlfn.XLOOKUP(B88,Engpar!A:A,Engpar!K:K)</f>
        <v>112.17122999999999</v>
      </c>
      <c r="H88" t="str">
        <f>_xlfn.XLOOKUP(A88,Claim!C:C,Claim!I:I)</f>
        <v>BUC</v>
      </c>
      <c r="I88">
        <f>_xlfn.XLOOKUP(A88,Claim!C:C,Claim!J:J)</f>
        <v>1</v>
      </c>
      <c r="J88" t="str">
        <f>_xlfn.XLOOKUP(A88,Claim!C:C,Claim!M:M)</f>
        <v>PERBAIKAN_ASSET</v>
      </c>
      <c r="K88" t="str">
        <f>_xlfn.XLOOKUP(A88,Claim!C:C,Claim!O:O)</f>
        <v>Approved</v>
      </c>
      <c r="L88" t="str">
        <f>_xlfn.XLOOKUP(A88,Claim!C:C,Claim!P:P)</f>
        <v>Approved</v>
      </c>
      <c r="M88" t="str">
        <f>_xlfn.XLOOKUP(A88,Claim!C:C,Claim!Q:Q)</f>
        <v>KSO Pending</v>
      </c>
      <c r="N88" t="str" cm="1">
        <f t="array" ref="N88">_xlfn.IFS(
   OR(L88="Cancel", L88="Canceled", L88="Reject", L88="Rejected"), "Cancel / Rejected",
   AND(OR(J88="Request_Garansi", J88="Perbaikan_Asset"), OR(L88="Approved", L88="PMO Pending")), "MSS Need Send",
   TRUE, "Waiting Approval"
)</f>
        <v>MSS Need Send</v>
      </c>
      <c r="O88" t="str" cm="1">
        <f t="array" ref="O88">_xlfn.IFS(
   OR(M88="Cancel", M88="Canceled", M88="Reject", M88="Rejected", K88="Cancel", K88="Canceled", K88="Reject", K88="Rejected", L88="Cancel", L88="Canceled", L88="Reject", L88="Rejected"), "Cancel / Rejected",
   AND(OR(J88="Perbaikan_Asset"), OR(M88="KSO Pending")), "KSO Need Send",
   TRUE, "Waiting Approval"
)</f>
        <v>KSO Need Send</v>
      </c>
      <c r="Q88" t="str" cm="1">
        <f t="array" ref="Q88">_xlfn.IFS(
   OR(M88="Cancel", M88="Canceled", M88="Reject", M88="Rejected", K88="Cancel", K88="Canceled", K88="Reject", K88="Rejected", L88="Cancel", L88="Canceled", L88="Reject", L88="Rejected"), "Cancel / Rejected",
   P88&lt;&gt;"", "MSS Done Send",
   N88="MSS Need Send", "MSS Need Send",
   TRUE, "Waiting Approval"
)</f>
        <v>MSS Need Send</v>
      </c>
      <c r="S88" t="str" cm="1">
        <f t="array" ref="S88">_xlfn.IFS(
   OR(M88="Cancel", M88="Canceled", M88="Reject", M88="Rejected", K88="Cancel", K88="Canceled", K88="Reject", K88="Rejected", L88="Cancel", L88="Canceled", L88="Reject", L88="Rejected"), "Cancel / Rejected",
   R88&lt;&gt;"", "KSO Done Send",
   Q88="MSS Need Send", "MSS Need Send",
   O88="KSO Need Send", "KSO Need Send",
   TRUE, "Waiting Approval"
)</f>
        <v>MSS Need Send</v>
      </c>
    </row>
    <row r="89" spans="1:19" x14ac:dyDescent="0.25">
      <c r="A89" s="1" t="s">
        <v>143</v>
      </c>
      <c r="B89" s="1" t="s">
        <v>54</v>
      </c>
      <c r="C89" t="str">
        <f>_xlfn.XLOOKUP(B89,Engpar!A:A,Engpar!C:C)</f>
        <v>MARUKANGAN</v>
      </c>
      <c r="D89" t="str">
        <f>_xlfn.XLOOKUP(B89,Engpar!A:A,Engpar!F:F)</f>
        <v>KALIMANTAN TIMUR</v>
      </c>
      <c r="E89" t="str">
        <f>_xlfn.XLOOKUP(B89,Engpar!A:A,Engpar!G:G)</f>
        <v>KUTAI TIMUR</v>
      </c>
      <c r="F89">
        <f>_xlfn.XLOOKUP(B89,Engpar!A:A,Engpar!J:J)</f>
        <v>0.86653000000000002</v>
      </c>
      <c r="G89">
        <f>_xlfn.XLOOKUP(B89,Engpar!A:A,Engpar!K:K)</f>
        <v>118.32862</v>
      </c>
      <c r="H89" t="str">
        <f>_xlfn.XLOOKUP(A89,Claim!C:C,Claim!I:I)</f>
        <v>ENCLOSURE POWER &amp; DISTRIBUTION BOARD</v>
      </c>
      <c r="I89">
        <f>_xlfn.XLOOKUP(A89,Claim!C:C,Claim!J:J)</f>
        <v>1</v>
      </c>
      <c r="J89" t="str">
        <f>_xlfn.XLOOKUP(A89,Claim!C:C,Claim!M:M)</f>
        <v>PRE_APPROVAL</v>
      </c>
      <c r="K89" t="str">
        <f>_xlfn.XLOOKUP(A89,Claim!C:C,Claim!O:O)</f>
        <v>Rejected</v>
      </c>
      <c r="L89" t="str">
        <f>_xlfn.XLOOKUP(A89,Claim!C:C,Claim!P:P)</f>
        <v>-</v>
      </c>
      <c r="M89" t="str">
        <f>_xlfn.XLOOKUP(A89,Claim!C:C,Claim!Q:Q)</f>
        <v>-</v>
      </c>
      <c r="N89" t="str" cm="1">
        <f t="array" ref="N89">_xlfn.IFS(
   OR(L89="Cancel", L89="Canceled", L89="Reject", L89="Rejected"), "Cancel / Rejected",
   AND(OR(J89="Request_Garansi", J89="Perbaikan_Asset"), OR(L89="Approved", L89="PMO Pending")), "MSS Need Send",
   TRUE, "Waiting Approval"
)</f>
        <v>Waiting Approval</v>
      </c>
      <c r="O89" t="str" cm="1">
        <f t="array" ref="O89">_xlfn.IFS(
   OR(M89="Cancel", M89="Canceled", M89="Reject", M89="Rejected", K89="Cancel", K89="Canceled", K89="Reject", K89="Rejected", L89="Cancel", L89="Canceled", L89="Reject", L89="Rejected"), "Cancel / Rejected",
   AND(OR(J89="Perbaikan_Asset"), OR(M89="KSO Pending")), "KSO Need Send",
   TRUE, "Waiting Approval"
)</f>
        <v>Cancel / Rejected</v>
      </c>
      <c r="Q89" t="str" cm="1">
        <f t="array" ref="Q89">_xlfn.IFS(
   OR(M89="Cancel", M89="Canceled", M89="Reject", M89="Rejected", K89="Cancel", K89="Canceled", K89="Reject", K89="Rejected", L89="Cancel", L89="Canceled", L89="Reject", L89="Rejected"), "Cancel / Rejected",
   P89&lt;&gt;"", "MSS Done Send",
   N89="MSS Need Send", "MSS Need Send",
   TRUE, "Waiting Approval"
)</f>
        <v>Cancel / Rejected</v>
      </c>
      <c r="S89" t="str" cm="1">
        <f t="array" ref="S89">_xlfn.IFS(
   OR(M89="Cancel", M89="Canceled", M89="Reject", M89="Rejected", K89="Cancel", K89="Canceled", K89="Reject", K89="Rejected", L89="Cancel", L89="Canceled", L89="Reject", L89="Rejected"), "Cancel / Rejected",
   R89&lt;&gt;"", "KSO Done Send",
   Q89="MSS Need Send", "MSS Need Send",
   O89="KSO Need Send", "KSO Need Send",
   TRUE, "Waiting Approval"
)</f>
        <v>Cancel / Rejected</v>
      </c>
    </row>
    <row r="90" spans="1:19" x14ac:dyDescent="0.25">
      <c r="A90" s="1" t="s">
        <v>146</v>
      </c>
      <c r="B90" s="1" t="s">
        <v>103</v>
      </c>
      <c r="C90" t="str">
        <f>_xlfn.XLOOKUP(B90,Engpar!A:A,Engpar!C:C)</f>
        <v>SEPOYU</v>
      </c>
      <c r="D90" t="str">
        <f>_xlfn.XLOOKUP(B90,Engpar!A:A,Engpar!F:F)</f>
        <v>KALIMANTAN TENGAH</v>
      </c>
      <c r="E90" t="str">
        <f>_xlfn.XLOOKUP(B90,Engpar!A:A,Engpar!G:G)</f>
        <v>LAMANDAU</v>
      </c>
      <c r="F90">
        <f>_xlfn.XLOOKUP(B90,Engpar!A:A,Engpar!J:J)</f>
        <v>-1.6954199999999999</v>
      </c>
      <c r="G90">
        <f>_xlfn.XLOOKUP(B90,Engpar!A:A,Engpar!K:K)</f>
        <v>111.10114</v>
      </c>
      <c r="H90" t="str">
        <f>_xlfn.XLOOKUP(A90,Claim!C:C,Claim!I:I)</f>
        <v>MODEM</v>
      </c>
      <c r="I90">
        <f>_xlfn.XLOOKUP(A90,Claim!C:C,Claim!J:J)</f>
        <v>1</v>
      </c>
      <c r="J90" t="str">
        <f>_xlfn.XLOOKUP(A90,Claim!C:C,Claim!M:M)</f>
        <v>PRE_APPROVAL</v>
      </c>
      <c r="K90" t="str">
        <f>_xlfn.XLOOKUP(A90,Claim!C:C,Claim!O:O)</f>
        <v>Rejected</v>
      </c>
      <c r="L90" t="str">
        <f>_xlfn.XLOOKUP(A90,Claim!C:C,Claim!P:P)</f>
        <v>-</v>
      </c>
      <c r="M90" t="str">
        <f>_xlfn.XLOOKUP(A90,Claim!C:C,Claim!Q:Q)</f>
        <v>-</v>
      </c>
      <c r="N90" t="str" cm="1">
        <f t="array" ref="N90">_xlfn.IFS(
   OR(L90="Cancel", L90="Canceled", L90="Reject", L90="Rejected"), "Cancel / Rejected",
   AND(OR(J90="Request_Garansi", J90="Perbaikan_Asset"), OR(L90="Approved", L90="PMO Pending")), "MSS Need Send",
   TRUE, "Waiting Approval"
)</f>
        <v>Waiting Approval</v>
      </c>
      <c r="O90" t="str" cm="1">
        <f t="array" ref="O90">_xlfn.IFS(
   OR(M90="Cancel", M90="Canceled", M90="Reject", M90="Rejected", K90="Cancel", K90="Canceled", K90="Reject", K90="Rejected", L90="Cancel", L90="Canceled", L90="Reject", L90="Rejected"), "Cancel / Rejected",
   AND(OR(J90="Perbaikan_Asset"), OR(M90="KSO Pending")), "KSO Need Send",
   TRUE, "Waiting Approval"
)</f>
        <v>Cancel / Rejected</v>
      </c>
      <c r="Q90" t="str" cm="1">
        <f t="array" ref="Q90">_xlfn.IFS(
   OR(M90="Cancel", M90="Canceled", M90="Reject", M90="Rejected", K90="Cancel", K90="Canceled", K90="Reject", K90="Rejected", L90="Cancel", L90="Canceled", L90="Reject", L90="Rejected"), "Cancel / Rejected",
   P90&lt;&gt;"", "MSS Done Send",
   N90="MSS Need Send", "MSS Need Send",
   TRUE, "Waiting Approval"
)</f>
        <v>Cancel / Rejected</v>
      </c>
      <c r="S90" t="str" cm="1">
        <f t="array" ref="S90">_xlfn.IFS(
   OR(M90="Cancel", M90="Canceled", M90="Reject", M90="Rejected", K90="Cancel", K90="Canceled", K90="Reject", K90="Rejected", L90="Cancel", L90="Canceled", L90="Reject", L90="Rejected"), "Cancel / Rejected",
   R90&lt;&gt;"", "KSO Done Send",
   Q90="MSS Need Send", "MSS Need Send",
   O90="KSO Need Send", "KSO Need Send",
   TRUE, "Waiting Approval"
)</f>
        <v>Cancel / Rejected</v>
      </c>
    </row>
    <row r="91" spans="1:19" x14ac:dyDescent="0.25">
      <c r="A91" s="1" t="s">
        <v>148</v>
      </c>
      <c r="B91" s="1" t="s">
        <v>103</v>
      </c>
      <c r="C91" t="str">
        <f>_xlfn.XLOOKUP(B91,Engpar!A:A,Engpar!C:C)</f>
        <v>SEPOYU</v>
      </c>
      <c r="D91" t="str">
        <f>_xlfn.XLOOKUP(B91,Engpar!A:A,Engpar!F:F)</f>
        <v>KALIMANTAN TENGAH</v>
      </c>
      <c r="E91" t="str">
        <f>_xlfn.XLOOKUP(B91,Engpar!A:A,Engpar!G:G)</f>
        <v>LAMANDAU</v>
      </c>
      <c r="F91">
        <f>_xlfn.XLOOKUP(B91,Engpar!A:A,Engpar!J:J)</f>
        <v>-1.6954199999999999</v>
      </c>
      <c r="G91">
        <f>_xlfn.XLOOKUP(B91,Engpar!A:A,Engpar!K:K)</f>
        <v>111.10114</v>
      </c>
      <c r="H91" t="str">
        <f>_xlfn.XLOOKUP(A91,Claim!C:C,Claim!I:I)</f>
        <v>LNB</v>
      </c>
      <c r="I91">
        <f>_xlfn.XLOOKUP(A91,Claim!C:C,Claim!J:J)</f>
        <v>1</v>
      </c>
      <c r="J91" t="str">
        <f>_xlfn.XLOOKUP(A91,Claim!C:C,Claim!M:M)</f>
        <v>PRE_APPROVAL</v>
      </c>
      <c r="K91" t="str">
        <f>_xlfn.XLOOKUP(A91,Claim!C:C,Claim!O:O)</f>
        <v>Rejected</v>
      </c>
      <c r="L91" t="str">
        <f>_xlfn.XLOOKUP(A91,Claim!C:C,Claim!P:P)</f>
        <v>-</v>
      </c>
      <c r="M91" t="str">
        <f>_xlfn.XLOOKUP(A91,Claim!C:C,Claim!Q:Q)</f>
        <v>-</v>
      </c>
      <c r="N91" t="str" cm="1">
        <f t="array" ref="N91">_xlfn.IFS(
   OR(L91="Cancel", L91="Canceled", L91="Reject", L91="Rejected"), "Cancel / Rejected",
   AND(OR(J91="Request_Garansi", J91="Perbaikan_Asset"), OR(L91="Approved", L91="PMO Pending")), "MSS Need Send",
   TRUE, "Waiting Approval"
)</f>
        <v>Waiting Approval</v>
      </c>
      <c r="O91" t="str" cm="1">
        <f t="array" ref="O91">_xlfn.IFS(
   OR(M91="Cancel", M91="Canceled", M91="Reject", M91="Rejected", K91="Cancel", K91="Canceled", K91="Reject", K91="Rejected", L91="Cancel", L91="Canceled", L91="Reject", L91="Rejected"), "Cancel / Rejected",
   AND(OR(J91="Perbaikan_Asset"), OR(M91="KSO Pending")), "KSO Need Send",
   TRUE, "Waiting Approval"
)</f>
        <v>Cancel / Rejected</v>
      </c>
      <c r="Q91" t="str" cm="1">
        <f t="array" ref="Q91">_xlfn.IFS(
   OR(M91="Cancel", M91="Canceled", M91="Reject", M91="Rejected", K91="Cancel", K91="Canceled", K91="Reject", K91="Rejected", L91="Cancel", L91="Canceled", L91="Reject", L91="Rejected"), "Cancel / Rejected",
   P91&lt;&gt;"", "MSS Done Send",
   N91="MSS Need Send", "MSS Need Send",
   TRUE, "Waiting Approval"
)</f>
        <v>Cancel / Rejected</v>
      </c>
      <c r="S91" t="str" cm="1">
        <f t="array" ref="S91">_xlfn.IFS(
   OR(M91="Cancel", M91="Canceled", M91="Reject", M91="Rejected", K91="Cancel", K91="Canceled", K91="Reject", K91="Rejected", L91="Cancel", L91="Canceled", L91="Reject", L91="Rejected"), "Cancel / Rejected",
   R91&lt;&gt;"", "KSO Done Send",
   Q91="MSS Need Send", "MSS Need Send",
   O91="KSO Need Send", "KSO Need Send",
   TRUE, "Waiting Approval"
)</f>
        <v>Cancel / Rejected</v>
      </c>
    </row>
    <row r="92" spans="1:19" x14ac:dyDescent="0.25">
      <c r="A92" s="1" t="s">
        <v>150</v>
      </c>
      <c r="B92" s="1" t="s">
        <v>103</v>
      </c>
      <c r="C92" t="str">
        <f>_xlfn.XLOOKUP(B92,Engpar!A:A,Engpar!C:C)</f>
        <v>SEPOYU</v>
      </c>
      <c r="D92" t="str">
        <f>_xlfn.XLOOKUP(B92,Engpar!A:A,Engpar!F:F)</f>
        <v>KALIMANTAN TENGAH</v>
      </c>
      <c r="E92" t="str">
        <f>_xlfn.XLOOKUP(B92,Engpar!A:A,Engpar!G:G)</f>
        <v>LAMANDAU</v>
      </c>
      <c r="F92">
        <f>_xlfn.XLOOKUP(B92,Engpar!A:A,Engpar!J:J)</f>
        <v>-1.6954199999999999</v>
      </c>
      <c r="G92">
        <f>_xlfn.XLOOKUP(B92,Engpar!A:A,Engpar!K:K)</f>
        <v>111.10114</v>
      </c>
      <c r="H92" t="str">
        <f>_xlfn.XLOOKUP(A92,Claim!C:C,Claim!I:I)</f>
        <v>LNB</v>
      </c>
      <c r="I92">
        <f>_xlfn.XLOOKUP(A92,Claim!C:C,Claim!J:J)</f>
        <v>1</v>
      </c>
      <c r="J92" t="str">
        <f>_xlfn.XLOOKUP(A92,Claim!C:C,Claim!M:M)</f>
        <v>PERBAIKAN_ASSET</v>
      </c>
      <c r="K92" t="str">
        <f>_xlfn.XLOOKUP(A92,Claim!C:C,Claim!O:O)</f>
        <v>Approved</v>
      </c>
      <c r="L92" t="str">
        <f>_xlfn.XLOOKUP(A92,Claim!C:C,Claim!P:P)</f>
        <v>Approved</v>
      </c>
      <c r="M92" t="str">
        <f>_xlfn.XLOOKUP(A92,Claim!C:C,Claim!Q:Q)</f>
        <v>KSO Pending</v>
      </c>
      <c r="N92" t="str" cm="1">
        <f t="array" ref="N92">_xlfn.IFS(
   OR(L92="Cancel", L92="Canceled", L92="Reject", L92="Rejected"), "Cancel / Rejected",
   AND(OR(J92="Request_Garansi", J92="Perbaikan_Asset"), OR(L92="Approved", L92="PMO Pending")), "MSS Need Send",
   TRUE, "Waiting Approval"
)</f>
        <v>MSS Need Send</v>
      </c>
      <c r="O92" t="str" cm="1">
        <f t="array" ref="O92">_xlfn.IFS(
   OR(M92="Cancel", M92="Canceled", M92="Reject", M92="Rejected", K92="Cancel", K92="Canceled", K92="Reject", K92="Rejected", L92="Cancel", L92="Canceled", L92="Reject", L92="Rejected"), "Cancel / Rejected",
   AND(OR(J92="Perbaikan_Asset"), OR(M92="KSO Pending")), "KSO Need Send",
   TRUE, "Waiting Approval"
)</f>
        <v>KSO Need Send</v>
      </c>
      <c r="Q92" t="str" cm="1">
        <f t="array" ref="Q92">_xlfn.IFS(
   OR(M92="Cancel", M92="Canceled", M92="Reject", M92="Rejected", K92="Cancel", K92="Canceled", K92="Reject", K92="Rejected", L92="Cancel", L92="Canceled", L92="Reject", L92="Rejected"), "Cancel / Rejected",
   P92&lt;&gt;"", "MSS Done Send",
   N92="MSS Need Send", "MSS Need Send",
   TRUE, "Waiting Approval"
)</f>
        <v>MSS Need Send</v>
      </c>
      <c r="S92" t="str" cm="1">
        <f t="array" ref="S92">_xlfn.IFS(
   OR(M92="Cancel", M92="Canceled", M92="Reject", M92="Rejected", K92="Cancel", K92="Canceled", K92="Reject", K92="Rejected", L92="Cancel", L92="Canceled", L92="Reject", L92="Rejected"), "Cancel / Rejected",
   R92&lt;&gt;"", "KSO Done Send",
   Q92="MSS Need Send", "MSS Need Send",
   O92="KSO Need Send", "KSO Need Send",
   TRUE, "Waiting Approval"
)</f>
        <v>MSS Need Send</v>
      </c>
    </row>
    <row r="93" spans="1:19" x14ac:dyDescent="0.25">
      <c r="A93" s="1" t="s">
        <v>152</v>
      </c>
      <c r="B93" s="1" t="s">
        <v>48</v>
      </c>
      <c r="C93" t="str">
        <f>_xlfn.XLOOKUP(B93,Engpar!A:A,Engpar!C:C)</f>
        <v>TUMBANG SUEI</v>
      </c>
      <c r="D93" t="str">
        <f>_xlfn.XLOOKUP(B93,Engpar!A:A,Engpar!F:F)</f>
        <v>KALIMANTAN TENGAH</v>
      </c>
      <c r="E93" t="str">
        <f>_xlfn.XLOOKUP(B93,Engpar!A:A,Engpar!G:G)</f>
        <v>SERUYAN</v>
      </c>
      <c r="F93">
        <f>_xlfn.XLOOKUP(B93,Engpar!A:A,Engpar!J:J)</f>
        <v>-1.31559</v>
      </c>
      <c r="G93">
        <f>_xlfn.XLOOKUP(B93,Engpar!A:A,Engpar!K:K)</f>
        <v>111.855</v>
      </c>
      <c r="H93" t="str">
        <f>_xlfn.XLOOKUP(A93,Claim!C:C,Claim!I:I)</f>
        <v>BATERAI</v>
      </c>
      <c r="I93">
        <f>_xlfn.XLOOKUP(A93,Claim!C:C,Claim!J:J)</f>
        <v>2</v>
      </c>
      <c r="J93" t="str">
        <f>_xlfn.XLOOKUP(A93,Claim!C:C,Claim!M:M)</f>
        <v>REQUEST_GARANSI</v>
      </c>
      <c r="K93" t="str">
        <f>_xlfn.XLOOKUP(A93,Claim!C:C,Claim!O:O)</f>
        <v>Approved</v>
      </c>
      <c r="L93" t="str">
        <f>_xlfn.XLOOKUP(A93,Claim!C:C,Claim!P:P)</f>
        <v>Canceled</v>
      </c>
      <c r="M93" t="str">
        <f>_xlfn.XLOOKUP(A93,Claim!C:C,Claim!Q:Q)</f>
        <v>-</v>
      </c>
      <c r="N93" t="str" cm="1">
        <f t="array" ref="N93">_xlfn.IFS(
   OR(L93="Cancel", L93="Canceled", L93="Reject", L93="Rejected"), "Cancel / Rejected",
   AND(OR(J93="Request_Garansi", J93="Perbaikan_Asset"), OR(L93="Approved", L93="PMO Pending")), "MSS Need Send",
   TRUE, "Waiting Approval"
)</f>
        <v>Cancel / Rejected</v>
      </c>
      <c r="O93" t="str" cm="1">
        <f t="array" ref="O93">_xlfn.IFS(
   OR(M93="Cancel", M93="Canceled", M93="Reject", M93="Rejected", K93="Cancel", K93="Canceled", K93="Reject", K93="Rejected", L93="Cancel", L93="Canceled", L93="Reject", L93="Rejected"), "Cancel / Rejected",
   AND(OR(J93="Perbaikan_Asset"), OR(M93="KSO Pending")), "KSO Need Send",
   TRUE, "Waiting Approval"
)</f>
        <v>Cancel / Rejected</v>
      </c>
      <c r="P93" t="s">
        <v>1408</v>
      </c>
      <c r="Q93" t="str" cm="1">
        <f t="array" ref="Q93">_xlfn.IFS(
   OR(M93="Cancel", M93="Canceled", M93="Reject", M93="Rejected", K93="Cancel", K93="Canceled", K93="Reject", K93="Rejected", L93="Cancel", L93="Canceled", L93="Reject", L93="Rejected"), "Cancel / Rejected",
   P93&lt;&gt;"", "MSS Done Send",
   N93="MSS Need Send", "MSS Need Send",
   TRUE, "Waiting Approval"
)</f>
        <v>Cancel / Rejected</v>
      </c>
      <c r="S93" t="str" cm="1">
        <f t="array" ref="S93">_xlfn.IFS(
   OR(M93="Cancel", M93="Canceled", M93="Reject", M93="Rejected", K93="Cancel", K93="Canceled", K93="Reject", K93="Rejected", L93="Cancel", L93="Canceled", L93="Reject", L93="Rejected"), "Cancel / Rejected",
   R93&lt;&gt;"", "KSO Done Send",
   Q93="MSS Need Send", "MSS Need Send",
   O93="KSO Need Send", "KSO Need Send",
   TRUE, "Waiting Approval"
)</f>
        <v>Cancel / Rejected</v>
      </c>
    </row>
    <row r="94" spans="1:19" x14ac:dyDescent="0.25">
      <c r="A94" s="1" t="s">
        <v>155</v>
      </c>
      <c r="B94" s="1" t="s">
        <v>154</v>
      </c>
      <c r="C94" t="str">
        <f>_xlfn.XLOOKUP(B94,Engpar!A:A,Engpar!C:C)</f>
        <v>SEMANDANG HULU</v>
      </c>
      <c r="D94" t="str">
        <f>_xlfn.XLOOKUP(B94,Engpar!A:A,Engpar!F:F)</f>
        <v>KALIMANTAN BARAT</v>
      </c>
      <c r="E94" t="str">
        <f>_xlfn.XLOOKUP(B94,Engpar!A:A,Engpar!G:G)</f>
        <v>KETAPANG</v>
      </c>
      <c r="F94">
        <f>_xlfn.XLOOKUP(B94,Engpar!A:A,Engpar!J:J)</f>
        <v>-0.59187000000000001</v>
      </c>
      <c r="G94">
        <f>_xlfn.XLOOKUP(B94,Engpar!A:A,Engpar!K:K)</f>
        <v>110.4734</v>
      </c>
      <c r="H94" t="str">
        <f>_xlfn.XLOOKUP(A94,Claim!C:C,Claim!I:I)</f>
        <v>BUC</v>
      </c>
      <c r="I94">
        <f>_xlfn.XLOOKUP(A94,Claim!C:C,Claim!J:J)</f>
        <v>1</v>
      </c>
      <c r="J94" t="str">
        <f>_xlfn.XLOOKUP(A94,Claim!C:C,Claim!M:M)</f>
        <v>PERBAIKAN_ASSET</v>
      </c>
      <c r="K94" t="str">
        <f>_xlfn.XLOOKUP(A94,Claim!C:C,Claim!O:O)</f>
        <v>Approved</v>
      </c>
      <c r="L94" t="str">
        <f>_xlfn.XLOOKUP(A94,Claim!C:C,Claim!P:P)</f>
        <v>Approved</v>
      </c>
      <c r="M94" t="str">
        <f>_xlfn.XLOOKUP(A94,Claim!C:C,Claim!Q:Q)</f>
        <v>KSO Pending</v>
      </c>
      <c r="N94" t="str" cm="1">
        <f t="array" ref="N94">_xlfn.IFS(
   OR(L94="Cancel", L94="Canceled", L94="Reject", L94="Rejected"), "Cancel / Rejected",
   AND(OR(J94="Request_Garansi", J94="Perbaikan_Asset"), OR(L94="Approved", L94="PMO Pending")), "MSS Need Send",
   TRUE, "Waiting Approval"
)</f>
        <v>MSS Need Send</v>
      </c>
      <c r="O94" t="str" cm="1">
        <f t="array" ref="O94">_xlfn.IFS(
   OR(M94="Cancel", M94="Canceled", M94="Reject", M94="Rejected", K94="Cancel", K94="Canceled", K94="Reject", K94="Rejected", L94="Cancel", L94="Canceled", L94="Reject", L94="Rejected"), "Cancel / Rejected",
   AND(OR(J94="Perbaikan_Asset"), OR(M94="KSO Pending")), "KSO Need Send",
   TRUE, "Waiting Approval"
)</f>
        <v>KSO Need Send</v>
      </c>
      <c r="Q94" t="str" cm="1">
        <f t="array" ref="Q94">_xlfn.IFS(
   OR(M94="Cancel", M94="Canceled", M94="Reject", M94="Rejected", K94="Cancel", K94="Canceled", K94="Reject", K94="Rejected", L94="Cancel", L94="Canceled", L94="Reject", L94="Rejected"), "Cancel / Rejected",
   P94&lt;&gt;"", "MSS Done Send",
   N94="MSS Need Send", "MSS Need Send",
   TRUE, "Waiting Approval"
)</f>
        <v>MSS Need Send</v>
      </c>
      <c r="S94" t="str" cm="1">
        <f t="array" ref="S94">_xlfn.IFS(
   OR(M94="Cancel", M94="Canceled", M94="Reject", M94="Rejected", K94="Cancel", K94="Canceled", K94="Reject", K94="Rejected", L94="Cancel", L94="Canceled", L94="Reject", L94="Rejected"), "Cancel / Rejected",
   R94&lt;&gt;"", "KSO Done Send",
   Q94="MSS Need Send", "MSS Need Send",
   O94="KSO Need Send", "KSO Need Send",
   TRUE, "Waiting Approval"
)</f>
        <v>MSS Need Send</v>
      </c>
    </row>
    <row r="95" spans="1:19" x14ac:dyDescent="0.25">
      <c r="A95" s="1" t="s">
        <v>158</v>
      </c>
      <c r="B95" s="1" t="s">
        <v>157</v>
      </c>
      <c r="C95" t="str">
        <f>_xlfn.XLOOKUP(B95,Engpar!A:A,Engpar!C:C)</f>
        <v>SEKAIS</v>
      </c>
      <c r="D95" t="str">
        <f>_xlfn.XLOOKUP(B95,Engpar!A:A,Engpar!F:F)</f>
        <v>KALIMANTAN BARAT</v>
      </c>
      <c r="E95" t="str">
        <f>_xlfn.XLOOKUP(B95,Engpar!A:A,Engpar!G:G)</f>
        <v>LANDAK</v>
      </c>
      <c r="F95">
        <f>_xlfn.XLOOKUP(B95,Engpar!A:A,Engpar!J:J)</f>
        <v>0.41713</v>
      </c>
      <c r="G95">
        <f>_xlfn.XLOOKUP(B95,Engpar!A:A,Engpar!K:K)</f>
        <v>110.17946000000001</v>
      </c>
      <c r="H95" t="str">
        <f>_xlfn.XLOOKUP(A95,Claim!C:C,Claim!I:I)</f>
        <v>RRU</v>
      </c>
      <c r="I95">
        <f>_xlfn.XLOOKUP(A95,Claim!C:C,Claim!J:J)</f>
        <v>1</v>
      </c>
      <c r="J95" t="str">
        <f>_xlfn.XLOOKUP(A95,Claim!C:C,Claim!M:M)</f>
        <v>REQUEST_GARANSI</v>
      </c>
      <c r="K95" t="str">
        <f>_xlfn.XLOOKUP(A95,Claim!C:C,Claim!O:O)</f>
        <v>Approved</v>
      </c>
      <c r="L95" t="str">
        <f>_xlfn.XLOOKUP(A95,Claim!C:C,Claim!P:P)</f>
        <v>MSS Pending Form</v>
      </c>
      <c r="M95" t="str">
        <f>_xlfn.XLOOKUP(A95,Claim!C:C,Claim!Q:Q)</f>
        <v>-</v>
      </c>
      <c r="N95" t="str" cm="1">
        <f t="array" ref="N95">_xlfn.IFS(
   OR(L95="Cancel", L95="Canceled", L95="Reject", L95="Rejected"), "Cancel / Rejected",
   AND(OR(J95="Request_Garansi", J95="Perbaikan_Asset"), OR(L95="Approved", L95="PMO Pending")), "MSS Need Send",
   TRUE, "Waiting Approval"
)</f>
        <v>Waiting Approval</v>
      </c>
      <c r="O95" t="str" cm="1">
        <f t="array" ref="O95">_xlfn.IFS(
   OR(M95="Cancel", M95="Canceled", M95="Reject", M95="Rejected", K95="Cancel", K95="Canceled", K95="Reject", K95="Rejected", L95="Cancel", L95="Canceled", L95="Reject", L95="Rejected"), "Cancel / Rejected",
   AND(OR(J95="Perbaikan_Asset"), OR(M95="KSO Pending")), "KSO Need Send",
   TRUE, "Waiting Approval"
)</f>
        <v>Waiting Approval</v>
      </c>
      <c r="Q95" t="str" cm="1">
        <f t="array" ref="Q95">_xlfn.IFS(
   OR(M95="Cancel", M95="Canceled", M95="Reject", M95="Rejected", K95="Cancel", K95="Canceled", K95="Reject", K95="Rejected", L95="Cancel", L95="Canceled", L95="Reject", L95="Rejected"), "Cancel / Rejected",
   P95&lt;&gt;"", "MSS Done Send",
   N95="MSS Need Send", "MSS Need Send",
   TRUE, "Waiting Approval"
)</f>
        <v>Waiting Approval</v>
      </c>
      <c r="S95" t="str" cm="1">
        <f t="array" ref="S95">_xlfn.IFS(
   OR(M95="Cancel", M95="Canceled", M95="Reject", M95="Rejected", K95="Cancel", K95="Canceled", K95="Reject", K95="Rejected", L95="Cancel", L95="Canceled", L95="Reject", L95="Rejected"), "Cancel / Rejected",
   R95&lt;&gt;"", "KSO Done Send",
   Q95="MSS Need Send", "MSS Need Send",
   O95="KSO Need Send", "KSO Need Send",
   TRUE, "Waiting Approval"
)</f>
        <v>Waiting Approval</v>
      </c>
    </row>
    <row r="96" spans="1:19" x14ac:dyDescent="0.25">
      <c r="A96" s="1" t="s">
        <v>163</v>
      </c>
      <c r="B96" s="1" t="s">
        <v>162</v>
      </c>
      <c r="C96" t="str">
        <f>_xlfn.XLOOKUP(B96,Engpar!A:A,Engpar!C:C)</f>
        <v>TANJUNG KELILING</v>
      </c>
      <c r="D96" t="str">
        <f>_xlfn.XLOOKUP(B96,Engpar!A:A,Engpar!F:F)</f>
        <v>KALIMANTAN BARAT</v>
      </c>
      <c r="E96" t="str">
        <f>_xlfn.XLOOKUP(B96,Engpar!A:A,Engpar!G:G)</f>
        <v>KAPUAS HULU</v>
      </c>
      <c r="F96">
        <f>_xlfn.XLOOKUP(B96,Engpar!A:A,Engpar!J:J)</f>
        <v>0.41211999999999999</v>
      </c>
      <c r="G96">
        <f>_xlfn.XLOOKUP(B96,Engpar!A:A,Engpar!K:K)</f>
        <v>112.0351</v>
      </c>
      <c r="H96" t="str">
        <f>_xlfn.XLOOKUP(A96,Claim!C:C,Claim!I:I)</f>
        <v>BBU</v>
      </c>
      <c r="I96">
        <f>_xlfn.XLOOKUP(A96,Claim!C:C,Claim!J:J)</f>
        <v>1</v>
      </c>
      <c r="J96" t="str">
        <f>_xlfn.XLOOKUP(A96,Claim!C:C,Claim!M:M)</f>
        <v>REQUEST_GARANSI</v>
      </c>
      <c r="K96" t="str">
        <f>_xlfn.XLOOKUP(A96,Claim!C:C,Claim!O:O)</f>
        <v>Approved</v>
      </c>
      <c r="L96" t="str">
        <f>_xlfn.XLOOKUP(A96,Claim!C:C,Claim!P:P)</f>
        <v>MSS Pending Form</v>
      </c>
      <c r="M96" t="str">
        <f>_xlfn.XLOOKUP(A96,Claim!C:C,Claim!Q:Q)</f>
        <v>-</v>
      </c>
      <c r="N96" t="str" cm="1">
        <f t="array" ref="N96">_xlfn.IFS(
   OR(L96="Cancel", L96="Canceled", L96="Reject", L96="Rejected"), "Cancel / Rejected",
   AND(OR(J96="Request_Garansi", J96="Perbaikan_Asset"), OR(L96="Approved", L96="PMO Pending")), "MSS Need Send",
   TRUE, "Waiting Approval"
)</f>
        <v>Waiting Approval</v>
      </c>
      <c r="O96" t="str" cm="1">
        <f t="array" ref="O96">_xlfn.IFS(
   OR(M96="Cancel", M96="Canceled", M96="Reject", M96="Rejected", K96="Cancel", K96="Canceled", K96="Reject", K96="Rejected", L96="Cancel", L96="Canceled", L96="Reject", L96="Rejected"), "Cancel / Rejected",
   AND(OR(J96="Perbaikan_Asset"), OR(M96="KSO Pending")), "KSO Need Send",
   TRUE, "Waiting Approval"
)</f>
        <v>Waiting Approval</v>
      </c>
      <c r="Q96" t="str" cm="1">
        <f t="array" ref="Q96">_xlfn.IFS(
   OR(M96="Cancel", M96="Canceled", M96="Reject", M96="Rejected", K96="Cancel", K96="Canceled", K96="Reject", K96="Rejected", L96="Cancel", L96="Canceled", L96="Reject", L96="Rejected"), "Cancel / Rejected",
   P96&lt;&gt;"", "MSS Done Send",
   N96="MSS Need Send", "MSS Need Send",
   TRUE, "Waiting Approval"
)</f>
        <v>Waiting Approval</v>
      </c>
      <c r="S96" t="str" cm="1">
        <f t="array" ref="S96">_xlfn.IFS(
   OR(M96="Cancel", M96="Canceled", M96="Reject", M96="Rejected", K96="Cancel", K96="Canceled", K96="Reject", K96="Rejected", L96="Cancel", L96="Canceled", L96="Reject", L96="Rejected"), "Cancel / Rejected",
   R96&lt;&gt;"", "KSO Done Send",
   Q96="MSS Need Send", "MSS Need Send",
   O96="KSO Need Send", "KSO Need Send",
   TRUE, "Waiting Approval"
)</f>
        <v>Waiting Approval</v>
      </c>
    </row>
    <row r="97" spans="1:19" x14ac:dyDescent="0.25">
      <c r="A97" s="1" t="s">
        <v>167</v>
      </c>
      <c r="B97" s="1" t="s">
        <v>166</v>
      </c>
      <c r="C97" t="str">
        <f>_xlfn.XLOOKUP(B97,Engpar!A:A,Engpar!C:C)</f>
        <v>PAOH CONCONG</v>
      </c>
      <c r="D97" t="str">
        <f>_xlfn.XLOOKUP(B97,Engpar!A:A,Engpar!F:F)</f>
        <v>KALIMANTAN BARAT</v>
      </c>
      <c r="E97" t="str">
        <f>_xlfn.XLOOKUP(B97,Engpar!A:A,Engpar!G:G)</f>
        <v>KETAPANG</v>
      </c>
      <c r="F97">
        <f>_xlfn.XLOOKUP(B97,Engpar!A:A,Engpar!J:J)</f>
        <v>-0.67327000000000004</v>
      </c>
      <c r="G97">
        <f>_xlfn.XLOOKUP(B97,Engpar!A:A,Engpar!K:K)</f>
        <v>110.44313</v>
      </c>
      <c r="H97" t="str">
        <f>_xlfn.XLOOKUP(A97,Claim!C:C,Claim!I:I)</f>
        <v>Battery</v>
      </c>
      <c r="I97">
        <f>_xlfn.XLOOKUP(A97,Claim!C:C,Claim!J:J)</f>
        <v>5</v>
      </c>
      <c r="J97" t="str">
        <f>_xlfn.XLOOKUP(A97,Claim!C:C,Claim!M:M)</f>
        <v>PERBAIKAN_ASSET</v>
      </c>
      <c r="K97" t="str">
        <f>_xlfn.XLOOKUP(A97,Claim!C:C,Claim!O:O)</f>
        <v>Approved</v>
      </c>
      <c r="L97" t="str">
        <f>_xlfn.XLOOKUP(A97,Claim!C:C,Claim!P:P)</f>
        <v>Approved</v>
      </c>
      <c r="M97" t="str">
        <f>_xlfn.XLOOKUP(A97,Claim!C:C,Claim!Q:Q)</f>
        <v>KSO Pending</v>
      </c>
      <c r="N97" t="str" cm="1">
        <f t="array" ref="N97">_xlfn.IFS(
   OR(L97="Cancel", L97="Canceled", L97="Reject", L97="Rejected"), "Cancel / Rejected",
   AND(OR(J97="Request_Garansi", J97="Perbaikan_Asset"), OR(L97="Approved", L97="PMO Pending")), "MSS Need Send",
   TRUE, "Waiting Approval"
)</f>
        <v>MSS Need Send</v>
      </c>
      <c r="O97" t="str" cm="1">
        <f t="array" ref="O97">_xlfn.IFS(
   OR(M97="Cancel", M97="Canceled", M97="Reject", M97="Rejected", K97="Cancel", K97="Canceled", K97="Reject", K97="Rejected", L97="Cancel", L97="Canceled", L97="Reject", L97="Rejected"), "Cancel / Rejected",
   AND(OR(J97="Perbaikan_Asset"), OR(M97="KSO Pending")), "KSO Need Send",
   TRUE, "Waiting Approval"
)</f>
        <v>KSO Need Send</v>
      </c>
      <c r="Q97" t="str" cm="1">
        <f t="array" ref="Q97">_xlfn.IFS(
   OR(M97="Cancel", M97="Canceled", M97="Reject", M97="Rejected", K97="Cancel", K97="Canceled", K97="Reject", K97="Rejected", L97="Cancel", L97="Canceled", L97="Reject", L97="Rejected"), "Cancel / Rejected",
   P97&lt;&gt;"", "MSS Done Send",
   N97="MSS Need Send", "MSS Need Send",
   TRUE, "Waiting Approval"
)</f>
        <v>MSS Need Send</v>
      </c>
      <c r="S97" t="str" cm="1">
        <f t="array" ref="S97">_xlfn.IFS(
   OR(M97="Cancel", M97="Canceled", M97="Reject", M97="Rejected", K97="Cancel", K97="Canceled", K97="Reject", K97="Rejected", L97="Cancel", L97="Canceled", L97="Reject", L97="Rejected"), "Cancel / Rejected",
   R97&lt;&gt;"", "KSO Done Send",
   Q97="MSS Need Send", "MSS Need Send",
   O97="KSO Need Send", "KSO Need Send",
   TRUE, "Waiting Approval"
)</f>
        <v>MSS Need Send</v>
      </c>
    </row>
    <row r="98" spans="1:19" x14ac:dyDescent="0.25">
      <c r="A98" s="1" t="s">
        <v>170</v>
      </c>
      <c r="B98" s="1" t="s">
        <v>169</v>
      </c>
      <c r="C98" t="str">
        <f>_xlfn.XLOOKUP(B98,Engpar!A:A,Engpar!C:C)</f>
        <v>NATAI KUINI</v>
      </c>
      <c r="D98" t="str">
        <f>_xlfn.XLOOKUP(B98,Engpar!A:A,Engpar!F:F)</f>
        <v>KALIMANTAN BARAT</v>
      </c>
      <c r="E98" t="str">
        <f>_xlfn.XLOOKUP(B98,Engpar!A:A,Engpar!G:G)</f>
        <v>KETAPANG</v>
      </c>
      <c r="F98">
        <f>_xlfn.XLOOKUP(B98,Engpar!A:A,Engpar!J:J)</f>
        <v>-2.9441799999999998</v>
      </c>
      <c r="G98">
        <f>_xlfn.XLOOKUP(B98,Engpar!A:A,Engpar!K:K)</f>
        <v>110.75055999999999</v>
      </c>
      <c r="H98" t="str">
        <f>_xlfn.XLOOKUP(A98,Claim!C:C,Claim!I:I)</f>
        <v>Modem</v>
      </c>
      <c r="I98">
        <f>_xlfn.XLOOKUP(A98,Claim!C:C,Claim!J:J)</f>
        <v>1</v>
      </c>
      <c r="J98" t="str">
        <f>_xlfn.XLOOKUP(A98,Claim!C:C,Claim!M:M)</f>
        <v>PERBAIKAN_ASSET</v>
      </c>
      <c r="K98" t="str">
        <f>_xlfn.XLOOKUP(A98,Claim!C:C,Claim!O:O)</f>
        <v>Approved</v>
      </c>
      <c r="L98" t="str">
        <f>_xlfn.XLOOKUP(A98,Claim!C:C,Claim!P:P)</f>
        <v>Approved</v>
      </c>
      <c r="M98" t="str">
        <f>_xlfn.XLOOKUP(A98,Claim!C:C,Claim!Q:Q)</f>
        <v>KSO Pending</v>
      </c>
      <c r="N98" t="str" cm="1">
        <f t="array" ref="N98">_xlfn.IFS(
   OR(L98="Cancel", L98="Canceled", L98="Reject", L98="Rejected"), "Cancel / Rejected",
   AND(OR(J98="Request_Garansi", J98="Perbaikan_Asset"), OR(L98="Approved", L98="PMO Pending")), "MSS Need Send",
   TRUE, "Waiting Approval"
)</f>
        <v>MSS Need Send</v>
      </c>
      <c r="O98" t="str" cm="1">
        <f t="array" ref="O98">_xlfn.IFS(
   OR(M98="Cancel", M98="Canceled", M98="Reject", M98="Rejected", K98="Cancel", K98="Canceled", K98="Reject", K98="Rejected", L98="Cancel", L98="Canceled", L98="Reject", L98="Rejected"), "Cancel / Rejected",
   AND(OR(J98="Perbaikan_Asset"), OR(M98="KSO Pending")), "KSO Need Send",
   TRUE, "Waiting Approval"
)</f>
        <v>KSO Need Send</v>
      </c>
      <c r="Q98" t="str" cm="1">
        <f t="array" ref="Q98">_xlfn.IFS(
   OR(M98="Cancel", M98="Canceled", M98="Reject", M98="Rejected", K98="Cancel", K98="Canceled", K98="Reject", K98="Rejected", L98="Cancel", L98="Canceled", L98="Reject", L98="Rejected"), "Cancel / Rejected",
   P98&lt;&gt;"", "MSS Done Send",
   N98="MSS Need Send", "MSS Need Send",
   TRUE, "Waiting Approval"
)</f>
        <v>MSS Need Send</v>
      </c>
      <c r="S98" t="str" cm="1">
        <f t="array" ref="S98">_xlfn.IFS(
   OR(M98="Cancel", M98="Canceled", M98="Reject", M98="Rejected", K98="Cancel", K98="Canceled", K98="Reject", K98="Rejected", L98="Cancel", L98="Canceled", L98="Reject", L98="Rejected"), "Cancel / Rejected",
   R98&lt;&gt;"", "KSO Done Send",
   Q98="MSS Need Send", "MSS Need Send",
   O98="KSO Need Send", "KSO Need Send",
   TRUE, "Waiting Approval"
)</f>
        <v>MSS Need Send</v>
      </c>
    </row>
    <row r="99" spans="1:19" x14ac:dyDescent="0.25">
      <c r="A99" s="1" t="s">
        <v>174</v>
      </c>
      <c r="B99" s="1" t="s">
        <v>173</v>
      </c>
      <c r="C99" t="str">
        <f>_xlfn.XLOOKUP(B99,Engpar!A:A,Engpar!C:C)</f>
        <v>DEHES ASEM</v>
      </c>
      <c r="D99" t="str">
        <f>_xlfn.XLOOKUP(B99,Engpar!A:A,Engpar!F:F)</f>
        <v>KALIMANTAN TENGAH</v>
      </c>
      <c r="E99" t="str">
        <f>_xlfn.XLOOKUP(B99,Engpar!A:A,Engpar!G:G)</f>
        <v>KATINGAN</v>
      </c>
      <c r="F99">
        <f>_xlfn.XLOOKUP(B99,Engpar!A:A,Engpar!J:J)</f>
        <v>-0.94771000000000005</v>
      </c>
      <c r="G99">
        <f>_xlfn.XLOOKUP(B99,Engpar!A:A,Engpar!K:K)</f>
        <v>112.43536</v>
      </c>
      <c r="H99" t="str">
        <f>_xlfn.XLOOKUP(A99,Claim!C:C,Claim!I:I)</f>
        <v>LNB</v>
      </c>
      <c r="I99">
        <f>_xlfn.XLOOKUP(A99,Claim!C:C,Claim!J:J)</f>
        <v>1</v>
      </c>
      <c r="J99" t="str">
        <f>_xlfn.XLOOKUP(A99,Claim!C:C,Claim!M:M)</f>
        <v>PERBAIKAN_ASSET</v>
      </c>
      <c r="K99" t="str">
        <f>_xlfn.XLOOKUP(A99,Claim!C:C,Claim!O:O)</f>
        <v>Approved</v>
      </c>
      <c r="L99" t="str">
        <f>_xlfn.XLOOKUP(A99,Claim!C:C,Claim!P:P)</f>
        <v>Approved</v>
      </c>
      <c r="M99" t="str">
        <f>_xlfn.XLOOKUP(A99,Claim!C:C,Claim!Q:Q)</f>
        <v>KSO Pending</v>
      </c>
      <c r="N99" t="str" cm="1">
        <f t="array" ref="N99">_xlfn.IFS(
   OR(L99="Cancel", L99="Canceled", L99="Reject", L99="Rejected"), "Cancel / Rejected",
   AND(OR(J99="Request_Garansi", J99="Perbaikan_Asset"), OR(L99="Approved", L99="PMO Pending")), "MSS Need Send",
   TRUE, "Waiting Approval"
)</f>
        <v>MSS Need Send</v>
      </c>
      <c r="O99" t="str" cm="1">
        <f t="array" ref="O99">_xlfn.IFS(
   OR(M99="Cancel", M99="Canceled", M99="Reject", M99="Rejected", K99="Cancel", K99="Canceled", K99="Reject", K99="Rejected", L99="Cancel", L99="Canceled", L99="Reject", L99="Rejected"), "Cancel / Rejected",
   AND(OR(J99="Perbaikan_Asset"), OR(M99="KSO Pending")), "KSO Need Send",
   TRUE, "Waiting Approval"
)</f>
        <v>KSO Need Send</v>
      </c>
      <c r="Q99" t="str" cm="1">
        <f t="array" ref="Q99">_xlfn.IFS(
   OR(M99="Cancel", M99="Canceled", M99="Reject", M99="Rejected", K99="Cancel", K99="Canceled", K99="Reject", K99="Rejected", L99="Cancel", L99="Canceled", L99="Reject", L99="Rejected"), "Cancel / Rejected",
   P99&lt;&gt;"", "MSS Done Send",
   N99="MSS Need Send", "MSS Need Send",
   TRUE, "Waiting Approval"
)</f>
        <v>MSS Need Send</v>
      </c>
      <c r="S99" t="str" cm="1">
        <f t="array" ref="S99">_xlfn.IFS(
   OR(M99="Cancel", M99="Canceled", M99="Reject", M99="Rejected", K99="Cancel", K99="Canceled", K99="Reject", K99="Rejected", L99="Cancel", L99="Canceled", L99="Reject", L99="Rejected"), "Cancel / Rejected",
   R99&lt;&gt;"", "KSO Done Send",
   Q99="MSS Need Send", "MSS Need Send",
   O99="KSO Need Send", "KSO Need Send",
   TRUE, "Waiting Approval"
)</f>
        <v>MSS Need Send</v>
      </c>
    </row>
    <row r="100" spans="1:19" x14ac:dyDescent="0.25">
      <c r="A100" s="1" t="s">
        <v>177</v>
      </c>
      <c r="B100" s="1" t="s">
        <v>176</v>
      </c>
      <c r="C100" t="str">
        <f>_xlfn.XLOOKUP(B100,Engpar!A:A,Engpar!C:C)</f>
        <v>TADO'AN</v>
      </c>
      <c r="D100" t="str">
        <f>_xlfn.XLOOKUP(B100,Engpar!A:A,Engpar!F:F)</f>
        <v>KALIMANTAN TIMUR</v>
      </c>
      <c r="E100" t="str">
        <f>_xlfn.XLOOKUP(B100,Engpar!A:A,Engpar!G:G)</f>
        <v>KUTAI TIMUR</v>
      </c>
      <c r="F100">
        <f>_xlfn.XLOOKUP(B100,Engpar!A:A,Engpar!J:J)</f>
        <v>0.9899</v>
      </c>
      <c r="G100">
        <f>_xlfn.XLOOKUP(B100,Engpar!A:A,Engpar!K:K)</f>
        <v>118.54745</v>
      </c>
      <c r="H100" t="str">
        <f>_xlfn.XLOOKUP(A100,Claim!C:C,Claim!I:I)</f>
        <v>BATERAI</v>
      </c>
      <c r="I100">
        <f>_xlfn.XLOOKUP(A100,Claim!C:C,Claim!J:J)</f>
        <v>1</v>
      </c>
      <c r="J100" t="str">
        <f>_xlfn.XLOOKUP(A100,Claim!C:C,Claim!M:M)</f>
        <v>PERBAIKAN_ASSET</v>
      </c>
      <c r="K100" t="str">
        <f>_xlfn.XLOOKUP(A100,Claim!C:C,Claim!O:O)</f>
        <v>Approved</v>
      </c>
      <c r="L100" t="str">
        <f>_xlfn.XLOOKUP(A100,Claim!C:C,Claim!P:P)</f>
        <v>Approved</v>
      </c>
      <c r="M100" t="str">
        <f>_xlfn.XLOOKUP(A100,Claim!C:C,Claim!Q:Q)</f>
        <v>KSO Pending</v>
      </c>
      <c r="N100" t="str" cm="1">
        <f t="array" ref="N100">_xlfn.IFS(
   OR(L100="Cancel", L100="Canceled", L100="Reject", L100="Rejected"), "Cancel / Rejected",
   AND(OR(J100="Request_Garansi", J100="Perbaikan_Asset"), OR(L100="Approved", L100="PMO Pending")), "MSS Need Send",
   TRUE, "Waiting Approval"
)</f>
        <v>MSS Need Send</v>
      </c>
      <c r="O100" t="str" cm="1">
        <f t="array" ref="O100">_xlfn.IFS(
   OR(M100="Cancel", M100="Canceled", M100="Reject", M100="Rejected", K100="Cancel", K100="Canceled", K100="Reject", K100="Rejected", L100="Cancel", L100="Canceled", L100="Reject", L100="Rejected"), "Cancel / Rejected",
   AND(OR(J100="Perbaikan_Asset"), OR(M100="KSO Pending")), "KSO Need Send",
   TRUE, "Waiting Approval"
)</f>
        <v>KSO Need Send</v>
      </c>
      <c r="Q100" t="str" cm="1">
        <f t="array" ref="Q100">_xlfn.IFS(
   OR(M100="Cancel", M100="Canceled", M100="Reject", M100="Rejected", K100="Cancel", K100="Canceled", K100="Reject", K100="Rejected", L100="Cancel", L100="Canceled", L100="Reject", L100="Rejected"), "Cancel / Rejected",
   P100&lt;&gt;"", "MSS Done Send",
   N100="MSS Need Send", "MSS Need Send",
   TRUE, "Waiting Approval"
)</f>
        <v>MSS Need Send</v>
      </c>
      <c r="S100" t="str" cm="1">
        <f t="array" ref="S100">_xlfn.IFS(
   OR(M100="Cancel", M100="Canceled", M100="Reject", M100="Rejected", K100="Cancel", K100="Canceled", K100="Reject", K100="Rejected", L100="Cancel", L100="Canceled", L100="Reject", L100="Rejected"), "Cancel / Rejected",
   R100&lt;&gt;"", "KSO Done Send",
   Q100="MSS Need Send", "MSS Need Send",
   O100="KSO Need Send", "KSO Need Send",
   TRUE, "Waiting Approval"
)</f>
        <v>MSS Need Send</v>
      </c>
    </row>
    <row r="101" spans="1:19" x14ac:dyDescent="0.25">
      <c r="A101" s="1" t="s">
        <v>180</v>
      </c>
      <c r="B101" s="1" t="s">
        <v>179</v>
      </c>
      <c r="C101" t="str">
        <f>_xlfn.XLOOKUP(B101,Engpar!A:A,Engpar!C:C)</f>
        <v>RUKUN DAMAI</v>
      </c>
      <c r="D101" t="str">
        <f>_xlfn.XLOOKUP(B101,Engpar!A:A,Engpar!F:F)</f>
        <v>KALIMANTAN TIMUR</v>
      </c>
      <c r="E101" t="str">
        <f>_xlfn.XLOOKUP(B101,Engpar!A:A,Engpar!G:G)</f>
        <v>MAHAKAM ULU</v>
      </c>
      <c r="F101">
        <f>_xlfn.XLOOKUP(B101,Engpar!A:A,Engpar!J:J)</f>
        <v>0.38946999999999998</v>
      </c>
      <c r="G101">
        <f>_xlfn.XLOOKUP(B101,Engpar!A:A,Engpar!K:K)</f>
        <v>115.41737999999999</v>
      </c>
      <c r="H101" t="str">
        <f>_xlfn.XLOOKUP(A101,Claim!C:C,Claim!I:I)</f>
        <v>MODEM</v>
      </c>
      <c r="I101">
        <f>_xlfn.XLOOKUP(A101,Claim!C:C,Claim!J:J)</f>
        <v>1</v>
      </c>
      <c r="J101" t="str">
        <f>_xlfn.XLOOKUP(A101,Claim!C:C,Claim!M:M)</f>
        <v>PERBAIKAN_ASSET</v>
      </c>
      <c r="K101" t="str">
        <f>_xlfn.XLOOKUP(A101,Claim!C:C,Claim!O:O)</f>
        <v>Approved</v>
      </c>
      <c r="L101" t="str">
        <f>_xlfn.XLOOKUP(A101,Claim!C:C,Claim!P:P)</f>
        <v>Approved</v>
      </c>
      <c r="M101" t="str">
        <f>_xlfn.XLOOKUP(A101,Claim!C:C,Claim!Q:Q)</f>
        <v>KSO Pending</v>
      </c>
      <c r="N101" t="str" cm="1">
        <f t="array" ref="N101">_xlfn.IFS(
   OR(L101="Cancel", L101="Canceled", L101="Reject", L101="Rejected"), "Cancel / Rejected",
   AND(OR(J101="Request_Garansi", J101="Perbaikan_Asset"), OR(L101="Approved", L101="PMO Pending")), "MSS Need Send",
   TRUE, "Waiting Approval"
)</f>
        <v>MSS Need Send</v>
      </c>
      <c r="O101" t="str" cm="1">
        <f t="array" ref="O101">_xlfn.IFS(
   OR(M101="Cancel", M101="Canceled", M101="Reject", M101="Rejected", K101="Cancel", K101="Canceled", K101="Reject", K101="Rejected", L101="Cancel", L101="Canceled", L101="Reject", L101="Rejected"), "Cancel / Rejected",
   AND(OR(J101="Perbaikan_Asset"), OR(M101="KSO Pending")), "KSO Need Send",
   TRUE, "Waiting Approval"
)</f>
        <v>KSO Need Send</v>
      </c>
      <c r="Q101" t="str" cm="1">
        <f t="array" ref="Q101">_xlfn.IFS(
   OR(M101="Cancel", M101="Canceled", M101="Reject", M101="Rejected", K101="Cancel", K101="Canceled", K101="Reject", K101="Rejected", L101="Cancel", L101="Canceled", L101="Reject", L101="Rejected"), "Cancel / Rejected",
   P101&lt;&gt;"", "MSS Done Send",
   N101="MSS Need Send", "MSS Need Send",
   TRUE, "Waiting Approval"
)</f>
        <v>MSS Need Send</v>
      </c>
      <c r="S101" t="str" cm="1">
        <f t="array" ref="S101">_xlfn.IFS(
   OR(M101="Cancel", M101="Canceled", M101="Reject", M101="Rejected", K101="Cancel", K101="Canceled", K101="Reject", K101="Rejected", L101="Cancel", L101="Canceled", L101="Reject", L101="Rejected"), "Cancel / Rejected",
   R101&lt;&gt;"", "KSO Done Send",
   Q101="MSS Need Send", "MSS Need Send",
   O101="KSO Need Send", "KSO Need Send",
   TRUE, "Waiting Approval"
)</f>
        <v>MSS Need Send</v>
      </c>
    </row>
    <row r="102" spans="1:19" x14ac:dyDescent="0.25">
      <c r="A102" s="1" t="s">
        <v>183</v>
      </c>
      <c r="B102" s="1" t="s">
        <v>182</v>
      </c>
      <c r="C102" t="str">
        <f>_xlfn.XLOOKUP(B102,Engpar!A:A,Engpar!C:C)</f>
        <v>PELAPIS</v>
      </c>
      <c r="D102" t="str">
        <f>_xlfn.XLOOKUP(B102,Engpar!A:A,Engpar!F:F)</f>
        <v>KALIMANTAN BARAT</v>
      </c>
      <c r="E102" t="str">
        <f>_xlfn.XLOOKUP(B102,Engpar!A:A,Engpar!G:G)</f>
        <v>KAYONG UTARA</v>
      </c>
      <c r="F102">
        <f>_xlfn.XLOOKUP(B102,Engpar!A:A,Engpar!J:J)</f>
        <v>-1.50379</v>
      </c>
      <c r="G102">
        <f>_xlfn.XLOOKUP(B102,Engpar!A:A,Engpar!K:K)</f>
        <v>109.38229</v>
      </c>
      <c r="H102" t="str">
        <f>_xlfn.XLOOKUP(A102,Claim!C:C,Claim!I:I)</f>
        <v>BUC</v>
      </c>
      <c r="I102">
        <f>_xlfn.XLOOKUP(A102,Claim!C:C,Claim!J:J)</f>
        <v>1</v>
      </c>
      <c r="J102" t="str">
        <f>_xlfn.XLOOKUP(A102,Claim!C:C,Claim!M:M)</f>
        <v>PERBAIKAN_ASSET</v>
      </c>
      <c r="K102" t="str">
        <f>_xlfn.XLOOKUP(A102,Claim!C:C,Claim!O:O)</f>
        <v>Approved</v>
      </c>
      <c r="L102" t="str">
        <f>_xlfn.XLOOKUP(A102,Claim!C:C,Claim!P:P)</f>
        <v>Approved</v>
      </c>
      <c r="M102" t="str">
        <f>_xlfn.XLOOKUP(A102,Claim!C:C,Claim!Q:Q)</f>
        <v>KSO Pending</v>
      </c>
      <c r="N102" t="str" cm="1">
        <f t="array" ref="N102">_xlfn.IFS(
   OR(L102="Cancel", L102="Canceled", L102="Reject", L102="Rejected"), "Cancel / Rejected",
   AND(OR(J102="Request_Garansi", J102="Perbaikan_Asset"), OR(L102="Approved", L102="PMO Pending")), "MSS Need Send",
   TRUE, "Waiting Approval"
)</f>
        <v>MSS Need Send</v>
      </c>
      <c r="O102" t="str" cm="1">
        <f t="array" ref="O102">_xlfn.IFS(
   OR(M102="Cancel", M102="Canceled", M102="Reject", M102="Rejected", K102="Cancel", K102="Canceled", K102="Reject", K102="Rejected", L102="Cancel", L102="Canceled", L102="Reject", L102="Rejected"), "Cancel / Rejected",
   AND(OR(J102="Perbaikan_Asset"), OR(M102="KSO Pending")), "KSO Need Send",
   TRUE, "Waiting Approval"
)</f>
        <v>KSO Need Send</v>
      </c>
      <c r="Q102" t="str" cm="1">
        <f t="array" ref="Q102">_xlfn.IFS(
   OR(M102="Cancel", M102="Canceled", M102="Reject", M102="Rejected", K102="Cancel", K102="Canceled", K102="Reject", K102="Rejected", L102="Cancel", L102="Canceled", L102="Reject", L102="Rejected"), "Cancel / Rejected",
   P102&lt;&gt;"", "MSS Done Send",
   N102="MSS Need Send", "MSS Need Send",
   TRUE, "Waiting Approval"
)</f>
        <v>MSS Need Send</v>
      </c>
      <c r="S102" t="str" cm="1">
        <f t="array" ref="S102">_xlfn.IFS(
   OR(M102="Cancel", M102="Canceled", M102="Reject", M102="Rejected", K102="Cancel", K102="Canceled", K102="Reject", K102="Rejected", L102="Cancel", L102="Canceled", L102="Reject", L102="Rejected"), "Cancel / Rejected",
   R102&lt;&gt;"", "KSO Done Send",
   Q102="MSS Need Send", "MSS Need Send",
   O102="KSO Need Send", "KSO Need Send",
   TRUE, "Waiting Approval"
)</f>
        <v>MSS Need Send</v>
      </c>
    </row>
    <row r="103" spans="1:19" x14ac:dyDescent="0.25">
      <c r="A103" s="1" t="s">
        <v>185</v>
      </c>
      <c r="B103" s="1" t="s">
        <v>182</v>
      </c>
      <c r="C103" t="str">
        <f>_xlfn.XLOOKUP(B103,Engpar!A:A,Engpar!C:C)</f>
        <v>PELAPIS</v>
      </c>
      <c r="D103" t="str">
        <f>_xlfn.XLOOKUP(B103,Engpar!A:A,Engpar!F:F)</f>
        <v>KALIMANTAN BARAT</v>
      </c>
      <c r="E103" t="str">
        <f>_xlfn.XLOOKUP(B103,Engpar!A:A,Engpar!G:G)</f>
        <v>KAYONG UTARA</v>
      </c>
      <c r="F103">
        <f>_xlfn.XLOOKUP(B103,Engpar!A:A,Engpar!J:J)</f>
        <v>-1.50379</v>
      </c>
      <c r="G103">
        <f>_xlfn.XLOOKUP(B103,Engpar!A:A,Engpar!K:K)</f>
        <v>109.38229</v>
      </c>
      <c r="H103" t="str">
        <f>_xlfn.XLOOKUP(A103,Claim!C:C,Claim!I:I)</f>
        <v>LNB</v>
      </c>
      <c r="I103">
        <f>_xlfn.XLOOKUP(A103,Claim!C:C,Claim!J:J)</f>
        <v>1</v>
      </c>
      <c r="J103" t="str">
        <f>_xlfn.XLOOKUP(A103,Claim!C:C,Claim!M:M)</f>
        <v>PERBAIKAN_ASSET</v>
      </c>
      <c r="K103" t="str">
        <f>_xlfn.XLOOKUP(A103,Claim!C:C,Claim!O:O)</f>
        <v>Approved</v>
      </c>
      <c r="L103" t="str">
        <f>_xlfn.XLOOKUP(A103,Claim!C:C,Claim!P:P)</f>
        <v>Approved</v>
      </c>
      <c r="M103" t="str">
        <f>_xlfn.XLOOKUP(A103,Claim!C:C,Claim!Q:Q)</f>
        <v>KSO Pending</v>
      </c>
      <c r="N103" t="str" cm="1">
        <f t="array" ref="N103">_xlfn.IFS(
   OR(L103="Cancel", L103="Canceled", L103="Reject", L103="Rejected"), "Cancel / Rejected",
   AND(OR(J103="Request_Garansi", J103="Perbaikan_Asset"), OR(L103="Approved", L103="PMO Pending")), "MSS Need Send",
   TRUE, "Waiting Approval"
)</f>
        <v>MSS Need Send</v>
      </c>
      <c r="O103" t="str" cm="1">
        <f t="array" ref="O103">_xlfn.IFS(
   OR(M103="Cancel", M103="Canceled", M103="Reject", M103="Rejected", K103="Cancel", K103="Canceled", K103="Reject", K103="Rejected", L103="Cancel", L103="Canceled", L103="Reject", L103="Rejected"), "Cancel / Rejected",
   AND(OR(J103="Perbaikan_Asset"), OR(M103="KSO Pending")), "KSO Need Send",
   TRUE, "Waiting Approval"
)</f>
        <v>KSO Need Send</v>
      </c>
      <c r="Q103" t="str" cm="1">
        <f t="array" ref="Q103">_xlfn.IFS(
   OR(M103="Cancel", M103="Canceled", M103="Reject", M103="Rejected", K103="Cancel", K103="Canceled", K103="Reject", K103="Rejected", L103="Cancel", L103="Canceled", L103="Reject", L103="Rejected"), "Cancel / Rejected",
   P103&lt;&gt;"", "MSS Done Send",
   N103="MSS Need Send", "MSS Need Send",
   TRUE, "Waiting Approval"
)</f>
        <v>MSS Need Send</v>
      </c>
      <c r="S103" t="str" cm="1">
        <f t="array" ref="S103">_xlfn.IFS(
   OR(M103="Cancel", M103="Canceled", M103="Reject", M103="Rejected", K103="Cancel", K103="Canceled", K103="Reject", K103="Rejected", L103="Cancel", L103="Canceled", L103="Reject", L103="Rejected"), "Cancel / Rejected",
   R103&lt;&gt;"", "KSO Done Send",
   Q103="MSS Need Send", "MSS Need Send",
   O103="KSO Need Send", "KSO Need Send",
   TRUE, "Waiting Approval"
)</f>
        <v>MSS Need Send</v>
      </c>
    </row>
    <row r="104" spans="1:19" x14ac:dyDescent="0.25">
      <c r="A104" s="1" t="s">
        <v>188</v>
      </c>
      <c r="B104" s="1" t="s">
        <v>187</v>
      </c>
      <c r="C104" t="str">
        <f>_xlfn.XLOOKUP(B104,Engpar!A:A,Engpar!C:C)</f>
        <v>GANTUNG PENGAYUH</v>
      </c>
      <c r="D104" t="str">
        <f>_xlfn.XLOOKUP(B104,Engpar!A:A,Engpar!F:F)</f>
        <v>KALIMANTAN TENGAH</v>
      </c>
      <c r="E104" t="str">
        <f>_xlfn.XLOOKUP(B104,Engpar!A:A,Engpar!G:G)</f>
        <v>SERUYAN</v>
      </c>
      <c r="F104">
        <f>_xlfn.XLOOKUP(B104,Engpar!A:A,Engpar!J:J)</f>
        <v>-2.13192</v>
      </c>
      <c r="G104">
        <f>_xlfn.XLOOKUP(B104,Engpar!A:A,Engpar!K:K)</f>
        <v>112.17621</v>
      </c>
      <c r="H104" t="str">
        <f>_xlfn.XLOOKUP(A104,Claim!C:C,Claim!I:I)</f>
        <v>BATERAI</v>
      </c>
      <c r="I104">
        <f>_xlfn.XLOOKUP(A104,Claim!C:C,Claim!J:J)</f>
        <v>3</v>
      </c>
      <c r="J104" t="str">
        <f>_xlfn.XLOOKUP(A104,Claim!C:C,Claim!M:M)</f>
        <v>PERBAIKAN_ASSET</v>
      </c>
      <c r="K104" t="str">
        <f>_xlfn.XLOOKUP(A104,Claim!C:C,Claim!O:O)</f>
        <v>Approved</v>
      </c>
      <c r="L104" t="str">
        <f>_xlfn.XLOOKUP(A104,Claim!C:C,Claim!P:P)</f>
        <v>Approved</v>
      </c>
      <c r="M104" t="str">
        <f>_xlfn.XLOOKUP(A104,Claim!C:C,Claim!Q:Q)</f>
        <v>KSO Pending</v>
      </c>
      <c r="N104" t="str" cm="1">
        <f t="array" ref="N104">_xlfn.IFS(
   OR(L104="Cancel", L104="Canceled", L104="Reject", L104="Rejected"), "Cancel / Rejected",
   AND(OR(J104="Request_Garansi", J104="Perbaikan_Asset"), OR(L104="Approved", L104="PMO Pending")), "MSS Need Send",
   TRUE, "Waiting Approval"
)</f>
        <v>MSS Need Send</v>
      </c>
      <c r="O104" t="str" cm="1">
        <f t="array" ref="O104">_xlfn.IFS(
   OR(M104="Cancel", M104="Canceled", M104="Reject", M104="Rejected", K104="Cancel", K104="Canceled", K104="Reject", K104="Rejected", L104="Cancel", L104="Canceled", L104="Reject", L104="Rejected"), "Cancel / Rejected",
   AND(OR(J104="Perbaikan_Asset"), OR(M104="KSO Pending")), "KSO Need Send",
   TRUE, "Waiting Approval"
)</f>
        <v>KSO Need Send</v>
      </c>
      <c r="Q104" t="str" cm="1">
        <f t="array" ref="Q104">_xlfn.IFS(
   OR(M104="Cancel", M104="Canceled", M104="Reject", M104="Rejected", K104="Cancel", K104="Canceled", K104="Reject", K104="Rejected", L104="Cancel", L104="Canceled", L104="Reject", L104="Rejected"), "Cancel / Rejected",
   P104&lt;&gt;"", "MSS Done Send",
   N104="MSS Need Send", "MSS Need Send",
   TRUE, "Waiting Approval"
)</f>
        <v>MSS Need Send</v>
      </c>
      <c r="S104" t="str" cm="1">
        <f t="array" ref="S104">_xlfn.IFS(
   OR(M104="Cancel", M104="Canceled", M104="Reject", M104="Rejected", K104="Cancel", K104="Canceled", K104="Reject", K104="Rejected", L104="Cancel", L104="Canceled", L104="Reject", L104="Rejected"), "Cancel / Rejected",
   R104&lt;&gt;"", "KSO Done Send",
   Q104="MSS Need Send", "MSS Need Send",
   O104="KSO Need Send", "KSO Need Send",
   TRUE, "Waiting Approval"
)</f>
        <v>MSS Need Send</v>
      </c>
    </row>
    <row r="105" spans="1:19" x14ac:dyDescent="0.25">
      <c r="A105" s="1" t="s">
        <v>191</v>
      </c>
      <c r="B105" s="1" t="s">
        <v>190</v>
      </c>
      <c r="C105" t="str">
        <f>_xlfn.XLOOKUP(B105,Engpar!A:A,Engpar!C:C)</f>
        <v>CINTA MANIS</v>
      </c>
      <c r="D105" t="str">
        <f>_xlfn.XLOOKUP(B105,Engpar!A:A,Engpar!F:F)</f>
        <v>KALIMANTAN BARAT</v>
      </c>
      <c r="E105" t="str">
        <f>_xlfn.XLOOKUP(B105,Engpar!A:A,Engpar!G:G)</f>
        <v>KETAPANG</v>
      </c>
      <c r="F105">
        <f>_xlfn.XLOOKUP(B105,Engpar!A:A,Engpar!J:J)</f>
        <v>-1.1689799999999999</v>
      </c>
      <c r="G105">
        <f>_xlfn.XLOOKUP(B105,Engpar!A:A,Engpar!K:K)</f>
        <v>110.75771</v>
      </c>
      <c r="H105" t="str">
        <f>_xlfn.XLOOKUP(A105,Claim!C:C,Claim!I:I)</f>
        <v>Modem</v>
      </c>
      <c r="I105">
        <f>_xlfn.XLOOKUP(A105,Claim!C:C,Claim!J:J)</f>
        <v>1</v>
      </c>
      <c r="J105" t="str">
        <f>_xlfn.XLOOKUP(A105,Claim!C:C,Claim!M:M)</f>
        <v>PERBAIKAN_ASSET</v>
      </c>
      <c r="K105" t="str">
        <f>_xlfn.XLOOKUP(A105,Claim!C:C,Claim!O:O)</f>
        <v>Approved</v>
      </c>
      <c r="L105" t="str">
        <f>_xlfn.XLOOKUP(A105,Claim!C:C,Claim!P:P)</f>
        <v>Approved</v>
      </c>
      <c r="M105" t="str">
        <f>_xlfn.XLOOKUP(A105,Claim!C:C,Claim!Q:Q)</f>
        <v>KSO Pending</v>
      </c>
      <c r="N105" t="str" cm="1">
        <f t="array" ref="N105">_xlfn.IFS(
   OR(L105="Cancel", L105="Canceled", L105="Reject", L105="Rejected"), "Cancel / Rejected",
   AND(OR(J105="Request_Garansi", J105="Perbaikan_Asset"), OR(L105="Approved", L105="PMO Pending")), "MSS Need Send",
   TRUE, "Waiting Approval"
)</f>
        <v>MSS Need Send</v>
      </c>
      <c r="O105" t="str" cm="1">
        <f t="array" ref="O105">_xlfn.IFS(
   OR(M105="Cancel", M105="Canceled", M105="Reject", M105="Rejected", K105="Cancel", K105="Canceled", K105="Reject", K105="Rejected", L105="Cancel", L105="Canceled", L105="Reject", L105="Rejected"), "Cancel / Rejected",
   AND(OR(J105="Perbaikan_Asset"), OR(M105="KSO Pending")), "KSO Need Send",
   TRUE, "Waiting Approval"
)</f>
        <v>KSO Need Send</v>
      </c>
      <c r="Q105" t="str" cm="1">
        <f t="array" ref="Q105">_xlfn.IFS(
   OR(M105="Cancel", M105="Canceled", M105="Reject", M105="Rejected", K105="Cancel", K105="Canceled", K105="Reject", K105="Rejected", L105="Cancel", L105="Canceled", L105="Reject", L105="Rejected"), "Cancel / Rejected",
   P105&lt;&gt;"", "MSS Done Send",
   N105="MSS Need Send", "MSS Need Send",
   TRUE, "Waiting Approval"
)</f>
        <v>MSS Need Send</v>
      </c>
      <c r="S105" t="str" cm="1">
        <f t="array" ref="S105">_xlfn.IFS(
   OR(M105="Cancel", M105="Canceled", M105="Reject", M105="Rejected", K105="Cancel", K105="Canceled", K105="Reject", K105="Rejected", L105="Cancel", L105="Canceled", L105="Reject", L105="Rejected"), "Cancel / Rejected",
   R105&lt;&gt;"", "KSO Done Send",
   Q105="MSS Need Send", "MSS Need Send",
   O105="KSO Need Send", "KSO Need Send",
   TRUE, "Waiting Approval"
)</f>
        <v>MSS Need Send</v>
      </c>
    </row>
    <row r="106" spans="1:19" x14ac:dyDescent="0.25">
      <c r="A106" s="1" t="s">
        <v>193</v>
      </c>
      <c r="B106" s="1" t="s">
        <v>54</v>
      </c>
      <c r="C106" t="str">
        <f>_xlfn.XLOOKUP(B106,Engpar!A:A,Engpar!C:C)</f>
        <v>MARUKANGAN</v>
      </c>
      <c r="D106" t="str">
        <f>_xlfn.XLOOKUP(B106,Engpar!A:A,Engpar!F:F)</f>
        <v>KALIMANTAN TIMUR</v>
      </c>
      <c r="E106" t="str">
        <f>_xlfn.XLOOKUP(B106,Engpar!A:A,Engpar!G:G)</f>
        <v>KUTAI TIMUR</v>
      </c>
      <c r="F106">
        <f>_xlfn.XLOOKUP(B106,Engpar!A:A,Engpar!J:J)</f>
        <v>0.86653000000000002</v>
      </c>
      <c r="G106">
        <f>_xlfn.XLOOKUP(B106,Engpar!A:A,Engpar!K:K)</f>
        <v>118.32862</v>
      </c>
      <c r="H106" t="str">
        <f>_xlfn.XLOOKUP(A106,Claim!C:C,Claim!I:I)</f>
        <v>RRU</v>
      </c>
      <c r="I106">
        <f>_xlfn.XLOOKUP(A106,Claim!C:C,Claim!J:J)</f>
        <v>1</v>
      </c>
      <c r="J106" t="str">
        <f>_xlfn.XLOOKUP(A106,Claim!C:C,Claim!M:M)</f>
        <v>REQUEST_GARANSI</v>
      </c>
      <c r="K106" t="str">
        <f>_xlfn.XLOOKUP(A106,Claim!C:C,Claim!O:O)</f>
        <v>Approved</v>
      </c>
      <c r="L106" t="str">
        <f>_xlfn.XLOOKUP(A106,Claim!C:C,Claim!P:P)</f>
        <v>MSS Pending Form</v>
      </c>
      <c r="M106" t="str">
        <f>_xlfn.XLOOKUP(A106,Claim!C:C,Claim!Q:Q)</f>
        <v>-</v>
      </c>
      <c r="N106" t="str" cm="1">
        <f t="array" ref="N106">_xlfn.IFS(
   OR(L106="Cancel", L106="Canceled", L106="Reject", L106="Rejected"), "Cancel / Rejected",
   AND(OR(J106="Request_Garansi", J106="Perbaikan_Asset"), OR(L106="Approved", L106="PMO Pending")), "MSS Need Send",
   TRUE, "Waiting Approval"
)</f>
        <v>Waiting Approval</v>
      </c>
      <c r="O106" t="str" cm="1">
        <f t="array" ref="O106">_xlfn.IFS(
   OR(M106="Cancel", M106="Canceled", M106="Reject", M106="Rejected", K106="Cancel", K106="Canceled", K106="Reject", K106="Rejected", L106="Cancel", L106="Canceled", L106="Reject", L106="Rejected"), "Cancel / Rejected",
   AND(OR(J106="Perbaikan_Asset"), OR(M106="KSO Pending")), "KSO Need Send",
   TRUE, "Waiting Approval"
)</f>
        <v>Waiting Approval</v>
      </c>
      <c r="Q106" t="str" cm="1">
        <f t="array" ref="Q106">_xlfn.IFS(
   OR(M106="Cancel", M106="Canceled", M106="Reject", M106="Rejected", K106="Cancel", K106="Canceled", K106="Reject", K106="Rejected", L106="Cancel", L106="Canceled", L106="Reject", L106="Rejected"), "Cancel / Rejected",
   P106&lt;&gt;"", "MSS Done Send",
   N106="MSS Need Send", "MSS Need Send",
   TRUE, "Waiting Approval"
)</f>
        <v>Waiting Approval</v>
      </c>
      <c r="S106" t="str" cm="1">
        <f t="array" ref="S106">_xlfn.IFS(
   OR(M106="Cancel", M106="Canceled", M106="Reject", M106="Rejected", K106="Cancel", K106="Canceled", K106="Reject", K106="Rejected", L106="Cancel", L106="Canceled", L106="Reject", L106="Rejected"), "Cancel / Rejected",
   R106&lt;&gt;"", "KSO Done Send",
   Q106="MSS Need Send", "MSS Need Send",
   O106="KSO Need Send", "KSO Need Send",
   TRUE, "Waiting Approval"
)</f>
        <v>Waiting Approval</v>
      </c>
    </row>
  </sheetData>
  <autoFilter ref="A1:S102" xr:uid="{BE1A1FFA-F006-4A5C-9B6A-B7BB1E1DF53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46D4-77F1-44A9-A087-90C197797A54}">
  <dimension ref="A1:K338"/>
  <sheetViews>
    <sheetView zoomScale="85" zoomScaleNormal="85" workbookViewId="0">
      <selection activeCell="C17" sqref="C17"/>
    </sheetView>
  </sheetViews>
  <sheetFormatPr defaultRowHeight="15" x14ac:dyDescent="0.25"/>
  <cols>
    <col min="1" max="1" width="9.42578125" bestFit="1" customWidth="1"/>
    <col min="2" max="2" width="13.140625" bestFit="1" customWidth="1"/>
    <col min="3" max="3" width="31.42578125" bestFit="1" customWidth="1"/>
    <col min="4" max="4" width="21.42578125" bestFit="1" customWidth="1"/>
    <col min="5" max="5" width="10.42578125" bestFit="1" customWidth="1"/>
    <col min="6" max="6" width="21" bestFit="1" customWidth="1"/>
    <col min="7" max="7" width="22.140625" bestFit="1" customWidth="1"/>
    <col min="8" max="8" width="22" bestFit="1" customWidth="1"/>
    <col min="9" max="9" width="31.42578125" bestFit="1" customWidth="1"/>
  </cols>
  <sheetData>
    <row r="1" spans="1:11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294</v>
      </c>
      <c r="G1" t="s">
        <v>304</v>
      </c>
      <c r="H1" t="s">
        <v>305</v>
      </c>
      <c r="I1" t="s">
        <v>306</v>
      </c>
      <c r="J1" t="s">
        <v>1400</v>
      </c>
      <c r="K1" t="s">
        <v>1401</v>
      </c>
    </row>
    <row r="2" spans="1:11" x14ac:dyDescent="0.25">
      <c r="A2" t="s">
        <v>307</v>
      </c>
      <c r="B2" t="s">
        <v>308</v>
      </c>
      <c r="C2" t="s">
        <v>309</v>
      </c>
      <c r="D2" t="s">
        <v>310</v>
      </c>
      <c r="E2">
        <v>6</v>
      </c>
      <c r="F2" t="s">
        <v>311</v>
      </c>
      <c r="G2" t="s">
        <v>312</v>
      </c>
      <c r="H2" t="s">
        <v>313</v>
      </c>
      <c r="I2" t="s">
        <v>309</v>
      </c>
      <c r="J2">
        <v>1.0846499999999999</v>
      </c>
      <c r="K2">
        <v>112.02643999999999</v>
      </c>
    </row>
    <row r="3" spans="1:11" x14ac:dyDescent="0.25">
      <c r="A3" t="s">
        <v>314</v>
      </c>
      <c r="B3" t="s">
        <v>315</v>
      </c>
      <c r="C3" t="s">
        <v>316</v>
      </c>
      <c r="D3" t="s">
        <v>310</v>
      </c>
      <c r="E3">
        <v>6</v>
      </c>
      <c r="F3" t="s">
        <v>317</v>
      </c>
      <c r="G3" t="s">
        <v>318</v>
      </c>
      <c r="H3" t="s">
        <v>319</v>
      </c>
      <c r="I3" t="s">
        <v>316</v>
      </c>
      <c r="J3">
        <v>3.6304799999999999</v>
      </c>
      <c r="K3">
        <v>115.72018</v>
      </c>
    </row>
    <row r="4" spans="1:11" x14ac:dyDescent="0.25">
      <c r="A4" t="s">
        <v>320</v>
      </c>
      <c r="B4" t="s">
        <v>321</v>
      </c>
      <c r="C4" t="s">
        <v>322</v>
      </c>
      <c r="D4" t="s">
        <v>310</v>
      </c>
      <c r="E4">
        <v>6</v>
      </c>
      <c r="F4" t="s">
        <v>311</v>
      </c>
      <c r="G4" t="s">
        <v>323</v>
      </c>
      <c r="H4" t="s">
        <v>324</v>
      </c>
      <c r="I4" t="s">
        <v>322</v>
      </c>
      <c r="J4">
        <v>-0.65095000000000003</v>
      </c>
      <c r="K4">
        <v>111.34049</v>
      </c>
    </row>
    <row r="5" spans="1:11" x14ac:dyDescent="0.25">
      <c r="A5" t="s">
        <v>325</v>
      </c>
      <c r="B5" t="s">
        <v>326</v>
      </c>
      <c r="C5" t="s">
        <v>327</v>
      </c>
      <c r="D5" t="s">
        <v>310</v>
      </c>
      <c r="E5">
        <v>6</v>
      </c>
      <c r="F5" t="s">
        <v>311</v>
      </c>
      <c r="G5" t="s">
        <v>328</v>
      </c>
      <c r="H5" t="s">
        <v>329</v>
      </c>
      <c r="I5" t="s">
        <v>327</v>
      </c>
      <c r="J5">
        <v>2.945E-2</v>
      </c>
      <c r="K5">
        <v>112.34945</v>
      </c>
    </row>
    <row r="6" spans="1:11" x14ac:dyDescent="0.25">
      <c r="A6" t="s">
        <v>330</v>
      </c>
      <c r="B6" t="s">
        <v>331</v>
      </c>
      <c r="C6" t="s">
        <v>332</v>
      </c>
      <c r="D6" t="s">
        <v>310</v>
      </c>
      <c r="E6">
        <v>6</v>
      </c>
      <c r="F6" t="s">
        <v>317</v>
      </c>
      <c r="G6" t="s">
        <v>333</v>
      </c>
      <c r="H6" t="s">
        <v>334</v>
      </c>
      <c r="I6" t="s">
        <v>332</v>
      </c>
      <c r="J6">
        <v>1.7230799999999999</v>
      </c>
      <c r="K6">
        <v>114.96059</v>
      </c>
    </row>
    <row r="7" spans="1:11" x14ac:dyDescent="0.25">
      <c r="A7" t="s">
        <v>335</v>
      </c>
      <c r="B7" t="s">
        <v>336</v>
      </c>
      <c r="C7" t="s">
        <v>337</v>
      </c>
      <c r="D7" t="s">
        <v>310</v>
      </c>
      <c r="E7">
        <v>6</v>
      </c>
      <c r="F7" t="s">
        <v>338</v>
      </c>
      <c r="G7" t="s">
        <v>339</v>
      </c>
      <c r="H7" t="s">
        <v>340</v>
      </c>
      <c r="I7" t="s">
        <v>337</v>
      </c>
      <c r="J7">
        <v>0.15783</v>
      </c>
      <c r="K7">
        <v>115.51591000000001</v>
      </c>
    </row>
    <row r="8" spans="1:11" x14ac:dyDescent="0.25">
      <c r="A8" t="s">
        <v>341</v>
      </c>
      <c r="B8" t="s">
        <v>342</v>
      </c>
      <c r="C8" t="s">
        <v>343</v>
      </c>
      <c r="D8" t="s">
        <v>310</v>
      </c>
      <c r="E8">
        <v>6</v>
      </c>
      <c r="F8" t="s">
        <v>344</v>
      </c>
      <c r="G8" t="s">
        <v>345</v>
      </c>
      <c r="H8" t="s">
        <v>346</v>
      </c>
      <c r="I8" t="s">
        <v>343</v>
      </c>
      <c r="J8">
        <v>-1.46858</v>
      </c>
      <c r="K8">
        <v>112.28144</v>
      </c>
    </row>
    <row r="9" spans="1:11" x14ac:dyDescent="0.25">
      <c r="A9" t="s">
        <v>347</v>
      </c>
      <c r="B9" t="s">
        <v>348</v>
      </c>
      <c r="C9" t="s">
        <v>349</v>
      </c>
      <c r="D9" t="s">
        <v>310</v>
      </c>
      <c r="E9">
        <v>6</v>
      </c>
      <c r="F9" t="s">
        <v>311</v>
      </c>
      <c r="G9" t="s">
        <v>328</v>
      </c>
      <c r="H9" t="s">
        <v>350</v>
      </c>
      <c r="I9" t="s">
        <v>349</v>
      </c>
      <c r="J9">
        <v>-0.29287000000000002</v>
      </c>
      <c r="K9">
        <v>113.0753</v>
      </c>
    </row>
    <row r="10" spans="1:11" x14ac:dyDescent="0.25">
      <c r="A10" t="s">
        <v>351</v>
      </c>
      <c r="B10" t="s">
        <v>352</v>
      </c>
      <c r="C10" t="s">
        <v>353</v>
      </c>
      <c r="D10" t="s">
        <v>310</v>
      </c>
      <c r="E10">
        <v>6</v>
      </c>
      <c r="F10" t="s">
        <v>317</v>
      </c>
      <c r="G10" t="s">
        <v>354</v>
      </c>
      <c r="H10" t="s">
        <v>355</v>
      </c>
      <c r="I10" t="s">
        <v>353</v>
      </c>
      <c r="J10">
        <v>2.8203900000000002</v>
      </c>
      <c r="K10">
        <v>116.68095</v>
      </c>
    </row>
    <row r="11" spans="1:11" x14ac:dyDescent="0.25">
      <c r="A11" t="s">
        <v>356</v>
      </c>
      <c r="B11" t="s">
        <v>357</v>
      </c>
      <c r="C11" t="s">
        <v>358</v>
      </c>
      <c r="D11" t="s">
        <v>310</v>
      </c>
      <c r="E11">
        <v>6</v>
      </c>
      <c r="F11" t="s">
        <v>338</v>
      </c>
      <c r="G11" t="s">
        <v>359</v>
      </c>
      <c r="H11" t="s">
        <v>360</v>
      </c>
      <c r="I11" t="s">
        <v>358</v>
      </c>
      <c r="J11">
        <v>-0.91481000000000001</v>
      </c>
      <c r="K11">
        <v>116.16556</v>
      </c>
    </row>
    <row r="12" spans="1:11" x14ac:dyDescent="0.25">
      <c r="A12" t="s">
        <v>361</v>
      </c>
      <c r="B12" t="s">
        <v>362</v>
      </c>
      <c r="C12" t="s">
        <v>363</v>
      </c>
      <c r="D12" t="s">
        <v>310</v>
      </c>
      <c r="E12">
        <v>6</v>
      </c>
      <c r="F12" t="s">
        <v>311</v>
      </c>
      <c r="G12" t="s">
        <v>328</v>
      </c>
      <c r="H12" t="s">
        <v>328</v>
      </c>
      <c r="I12" t="s">
        <v>363</v>
      </c>
      <c r="J12">
        <v>2.3179999999999999E-2</v>
      </c>
      <c r="K12">
        <v>111.54524000000001</v>
      </c>
    </row>
    <row r="13" spans="1:11" x14ac:dyDescent="0.25">
      <c r="A13" t="s">
        <v>64</v>
      </c>
      <c r="B13" t="s">
        <v>364</v>
      </c>
      <c r="C13" t="s">
        <v>365</v>
      </c>
      <c r="D13" t="s">
        <v>310</v>
      </c>
      <c r="E13">
        <v>6</v>
      </c>
      <c r="F13" t="s">
        <v>344</v>
      </c>
      <c r="G13" t="s">
        <v>366</v>
      </c>
      <c r="H13" t="s">
        <v>367</v>
      </c>
      <c r="I13" t="s">
        <v>365</v>
      </c>
      <c r="J13">
        <v>-1.0990500000000001</v>
      </c>
      <c r="K13">
        <v>112.41753</v>
      </c>
    </row>
    <row r="14" spans="1:11" x14ac:dyDescent="0.25">
      <c r="A14" t="s">
        <v>222</v>
      </c>
      <c r="B14" t="s">
        <v>368</v>
      </c>
      <c r="C14" t="s">
        <v>369</v>
      </c>
      <c r="D14" t="s">
        <v>310</v>
      </c>
      <c r="E14">
        <v>6</v>
      </c>
      <c r="F14" t="s">
        <v>344</v>
      </c>
      <c r="G14" t="s">
        <v>370</v>
      </c>
      <c r="H14" t="s">
        <v>371</v>
      </c>
      <c r="I14" t="s">
        <v>369</v>
      </c>
      <c r="J14">
        <v>-1.9552499999999999</v>
      </c>
      <c r="K14">
        <v>112.16068</v>
      </c>
    </row>
    <row r="15" spans="1:11" x14ac:dyDescent="0.25">
      <c r="A15" t="s">
        <v>372</v>
      </c>
      <c r="B15" t="s">
        <v>373</v>
      </c>
      <c r="C15" t="s">
        <v>374</v>
      </c>
      <c r="D15" t="s">
        <v>310</v>
      </c>
      <c r="E15">
        <v>6</v>
      </c>
      <c r="F15" t="s">
        <v>317</v>
      </c>
      <c r="G15" t="s">
        <v>318</v>
      </c>
      <c r="H15" t="s">
        <v>319</v>
      </c>
      <c r="I15" t="s">
        <v>374</v>
      </c>
      <c r="J15">
        <v>3.6414599999999999</v>
      </c>
      <c r="K15">
        <v>115.72463999999999</v>
      </c>
    </row>
    <row r="16" spans="1:11" x14ac:dyDescent="0.25">
      <c r="A16" t="s">
        <v>375</v>
      </c>
      <c r="B16" t="s">
        <v>376</v>
      </c>
      <c r="C16" t="s">
        <v>377</v>
      </c>
      <c r="D16" t="s">
        <v>310</v>
      </c>
      <c r="E16">
        <v>6</v>
      </c>
      <c r="F16" t="s">
        <v>344</v>
      </c>
      <c r="G16" t="s">
        <v>366</v>
      </c>
      <c r="H16" t="s">
        <v>378</v>
      </c>
      <c r="I16" t="s">
        <v>377</v>
      </c>
      <c r="J16">
        <v>-0.99502000000000002</v>
      </c>
      <c r="K16">
        <v>112.92697</v>
      </c>
    </row>
    <row r="17" spans="1:11" x14ac:dyDescent="0.25">
      <c r="A17" t="s">
        <v>176</v>
      </c>
      <c r="B17" t="s">
        <v>379</v>
      </c>
      <c r="C17" t="s">
        <v>380</v>
      </c>
      <c r="D17" t="s">
        <v>310</v>
      </c>
      <c r="E17">
        <v>6</v>
      </c>
      <c r="F17" t="s">
        <v>338</v>
      </c>
      <c r="G17" t="s">
        <v>381</v>
      </c>
      <c r="H17" t="s">
        <v>382</v>
      </c>
      <c r="I17" t="s">
        <v>380</v>
      </c>
      <c r="J17">
        <v>0.9899</v>
      </c>
      <c r="K17">
        <v>118.54745</v>
      </c>
    </row>
    <row r="18" spans="1:11" x14ac:dyDescent="0.25">
      <c r="A18" t="s">
        <v>383</v>
      </c>
      <c r="B18" t="s">
        <v>384</v>
      </c>
      <c r="C18" t="s">
        <v>385</v>
      </c>
      <c r="D18" t="s">
        <v>310</v>
      </c>
      <c r="E18">
        <v>6</v>
      </c>
      <c r="F18" t="s">
        <v>317</v>
      </c>
      <c r="G18" t="s">
        <v>318</v>
      </c>
      <c r="H18" t="s">
        <v>386</v>
      </c>
      <c r="I18" t="s">
        <v>385</v>
      </c>
      <c r="J18">
        <v>3.9348399999999999</v>
      </c>
      <c r="K18">
        <v>115.74588</v>
      </c>
    </row>
    <row r="19" spans="1:11" x14ac:dyDescent="0.25">
      <c r="A19" t="s">
        <v>387</v>
      </c>
      <c r="B19" t="s">
        <v>388</v>
      </c>
      <c r="C19" t="s">
        <v>389</v>
      </c>
      <c r="D19" t="s">
        <v>310</v>
      </c>
      <c r="E19">
        <v>6</v>
      </c>
      <c r="F19" t="s">
        <v>344</v>
      </c>
      <c r="G19" t="s">
        <v>366</v>
      </c>
      <c r="H19" t="s">
        <v>378</v>
      </c>
      <c r="I19" t="s">
        <v>389</v>
      </c>
      <c r="J19">
        <v>-0.94374000000000002</v>
      </c>
      <c r="K19">
        <v>113.09321</v>
      </c>
    </row>
    <row r="20" spans="1:11" x14ac:dyDescent="0.25">
      <c r="A20" t="s">
        <v>223</v>
      </c>
      <c r="B20" t="s">
        <v>390</v>
      </c>
      <c r="C20" t="s">
        <v>391</v>
      </c>
      <c r="D20" t="s">
        <v>310</v>
      </c>
      <c r="E20">
        <v>6</v>
      </c>
      <c r="F20" t="s">
        <v>344</v>
      </c>
      <c r="G20" t="s">
        <v>370</v>
      </c>
      <c r="H20" t="s">
        <v>392</v>
      </c>
      <c r="I20" t="s">
        <v>391</v>
      </c>
      <c r="J20">
        <v>-2.14777</v>
      </c>
      <c r="K20">
        <v>112.16604</v>
      </c>
    </row>
    <row r="21" spans="1:11" x14ac:dyDescent="0.25">
      <c r="A21" t="s">
        <v>393</v>
      </c>
      <c r="B21" t="s">
        <v>394</v>
      </c>
      <c r="C21" t="s">
        <v>395</v>
      </c>
      <c r="D21" t="s">
        <v>310</v>
      </c>
      <c r="E21">
        <v>6</v>
      </c>
      <c r="F21" t="s">
        <v>317</v>
      </c>
      <c r="G21" t="s">
        <v>318</v>
      </c>
      <c r="H21" t="s">
        <v>396</v>
      </c>
      <c r="I21" t="s">
        <v>395</v>
      </c>
      <c r="J21">
        <v>3.9260700000000002</v>
      </c>
      <c r="K21">
        <v>115.64221999999999</v>
      </c>
    </row>
    <row r="22" spans="1:11" x14ac:dyDescent="0.25">
      <c r="A22" t="s">
        <v>397</v>
      </c>
      <c r="B22" t="s">
        <v>398</v>
      </c>
      <c r="C22" t="s">
        <v>399</v>
      </c>
      <c r="D22" t="s">
        <v>310</v>
      </c>
      <c r="E22">
        <v>6</v>
      </c>
      <c r="F22" t="s">
        <v>311</v>
      </c>
      <c r="G22" t="s">
        <v>400</v>
      </c>
      <c r="H22" t="s">
        <v>401</v>
      </c>
      <c r="I22" t="s">
        <v>399</v>
      </c>
      <c r="J22">
        <v>1.3807400000000001</v>
      </c>
      <c r="K22">
        <v>109.51353</v>
      </c>
    </row>
    <row r="23" spans="1:11" x14ac:dyDescent="0.25">
      <c r="A23" t="s">
        <v>195</v>
      </c>
      <c r="B23" t="s">
        <v>402</v>
      </c>
      <c r="C23" t="s">
        <v>382</v>
      </c>
      <c r="D23" t="s">
        <v>310</v>
      </c>
      <c r="E23">
        <v>6</v>
      </c>
      <c r="F23" t="s">
        <v>338</v>
      </c>
      <c r="G23" t="s">
        <v>381</v>
      </c>
      <c r="H23" t="s">
        <v>382</v>
      </c>
      <c r="I23" t="s">
        <v>382</v>
      </c>
      <c r="J23">
        <v>0.87951999999999997</v>
      </c>
      <c r="K23">
        <v>118.87076999999999</v>
      </c>
    </row>
    <row r="24" spans="1:11" x14ac:dyDescent="0.25">
      <c r="A24" t="s">
        <v>403</v>
      </c>
      <c r="B24" t="s">
        <v>404</v>
      </c>
      <c r="C24" t="s">
        <v>405</v>
      </c>
      <c r="D24" t="s">
        <v>310</v>
      </c>
      <c r="E24">
        <v>6</v>
      </c>
      <c r="F24" t="s">
        <v>338</v>
      </c>
      <c r="G24" t="s">
        <v>406</v>
      </c>
      <c r="H24" t="s">
        <v>407</v>
      </c>
      <c r="I24" t="s">
        <v>405</v>
      </c>
      <c r="J24">
        <v>1.9802900000000001</v>
      </c>
      <c r="K24">
        <v>116.53296</v>
      </c>
    </row>
    <row r="25" spans="1:11" x14ac:dyDescent="0.25">
      <c r="A25" t="s">
        <v>408</v>
      </c>
      <c r="B25" t="s">
        <v>409</v>
      </c>
      <c r="C25" t="s">
        <v>410</v>
      </c>
      <c r="D25" t="s">
        <v>310</v>
      </c>
      <c r="E25">
        <v>6</v>
      </c>
      <c r="F25" t="s">
        <v>317</v>
      </c>
      <c r="G25" t="s">
        <v>318</v>
      </c>
      <c r="H25" t="s">
        <v>411</v>
      </c>
      <c r="I25" t="s">
        <v>410</v>
      </c>
      <c r="J25">
        <v>3.8554900000000001</v>
      </c>
      <c r="K25">
        <v>115.64561</v>
      </c>
    </row>
    <row r="26" spans="1:11" x14ac:dyDescent="0.25">
      <c r="A26" t="s">
        <v>412</v>
      </c>
      <c r="B26" t="s">
        <v>413</v>
      </c>
      <c r="C26" t="s">
        <v>414</v>
      </c>
      <c r="D26" t="s">
        <v>310</v>
      </c>
      <c r="E26">
        <v>6</v>
      </c>
      <c r="F26" t="s">
        <v>344</v>
      </c>
      <c r="G26" t="s">
        <v>415</v>
      </c>
      <c r="H26" t="s">
        <v>416</v>
      </c>
      <c r="I26" t="s">
        <v>414</v>
      </c>
      <c r="J26">
        <v>-1.6918299999999999</v>
      </c>
      <c r="K26">
        <v>111.05815</v>
      </c>
    </row>
    <row r="27" spans="1:11" x14ac:dyDescent="0.25">
      <c r="A27" t="s">
        <v>417</v>
      </c>
      <c r="B27" t="s">
        <v>418</v>
      </c>
      <c r="C27" t="s">
        <v>419</v>
      </c>
      <c r="D27" t="s">
        <v>310</v>
      </c>
      <c r="E27">
        <v>6</v>
      </c>
      <c r="F27" t="s">
        <v>344</v>
      </c>
      <c r="G27" t="s">
        <v>366</v>
      </c>
      <c r="H27" t="s">
        <v>378</v>
      </c>
      <c r="I27" t="s">
        <v>419</v>
      </c>
      <c r="J27">
        <v>-0.98887999999999998</v>
      </c>
      <c r="K27">
        <v>113.07306</v>
      </c>
    </row>
    <row r="28" spans="1:11" x14ac:dyDescent="0.25">
      <c r="A28" t="s">
        <v>420</v>
      </c>
      <c r="B28" t="s">
        <v>421</v>
      </c>
      <c r="C28" t="s">
        <v>422</v>
      </c>
      <c r="D28" t="s">
        <v>310</v>
      </c>
      <c r="E28">
        <v>6</v>
      </c>
      <c r="F28" t="s">
        <v>311</v>
      </c>
      <c r="G28" t="s">
        <v>400</v>
      </c>
      <c r="H28" t="s">
        <v>401</v>
      </c>
      <c r="I28" t="s">
        <v>422</v>
      </c>
      <c r="J28">
        <v>1.30179</v>
      </c>
      <c r="K28">
        <v>109.53901</v>
      </c>
    </row>
    <row r="29" spans="1:11" x14ac:dyDescent="0.25">
      <c r="A29" t="s">
        <v>423</v>
      </c>
      <c r="B29" t="s">
        <v>424</v>
      </c>
      <c r="C29" t="s">
        <v>425</v>
      </c>
      <c r="D29" t="s">
        <v>310</v>
      </c>
      <c r="E29">
        <v>6</v>
      </c>
      <c r="F29" t="s">
        <v>338</v>
      </c>
      <c r="G29" t="s">
        <v>339</v>
      </c>
      <c r="H29" t="s">
        <v>340</v>
      </c>
      <c r="I29" t="s">
        <v>425</v>
      </c>
      <c r="J29">
        <v>0.24254000000000001</v>
      </c>
      <c r="K29">
        <v>115.52528</v>
      </c>
    </row>
    <row r="30" spans="1:11" x14ac:dyDescent="0.25">
      <c r="A30" t="s">
        <v>426</v>
      </c>
      <c r="B30" t="s">
        <v>427</v>
      </c>
      <c r="C30" t="s">
        <v>428</v>
      </c>
      <c r="D30" t="s">
        <v>310</v>
      </c>
      <c r="E30">
        <v>6</v>
      </c>
      <c r="F30" t="s">
        <v>344</v>
      </c>
      <c r="G30" t="s">
        <v>415</v>
      </c>
      <c r="H30" t="s">
        <v>416</v>
      </c>
      <c r="I30" t="s">
        <v>428</v>
      </c>
      <c r="J30">
        <v>-1.65693</v>
      </c>
      <c r="K30">
        <v>111.04831</v>
      </c>
    </row>
    <row r="31" spans="1:11" x14ac:dyDescent="0.25">
      <c r="A31" t="s">
        <v>429</v>
      </c>
      <c r="B31" t="s">
        <v>430</v>
      </c>
      <c r="C31" t="s">
        <v>431</v>
      </c>
      <c r="D31" t="s">
        <v>310</v>
      </c>
      <c r="E31">
        <v>6</v>
      </c>
      <c r="F31" t="s">
        <v>338</v>
      </c>
      <c r="G31" t="s">
        <v>339</v>
      </c>
      <c r="H31" t="s">
        <v>432</v>
      </c>
      <c r="I31" t="s">
        <v>431</v>
      </c>
      <c r="J31">
        <v>0.37347999999999998</v>
      </c>
      <c r="K31">
        <v>115.43313999999999</v>
      </c>
    </row>
    <row r="32" spans="1:11" x14ac:dyDescent="0.25">
      <c r="A32" t="s">
        <v>433</v>
      </c>
      <c r="B32" t="s">
        <v>434</v>
      </c>
      <c r="C32" t="s">
        <v>435</v>
      </c>
      <c r="D32" t="s">
        <v>310</v>
      </c>
      <c r="E32">
        <v>6</v>
      </c>
      <c r="F32" t="s">
        <v>311</v>
      </c>
      <c r="G32" t="s">
        <v>436</v>
      </c>
      <c r="H32" t="s">
        <v>437</v>
      </c>
      <c r="I32" t="s">
        <v>435</v>
      </c>
      <c r="J32">
        <v>0.48405999999999999</v>
      </c>
      <c r="K32">
        <v>109.88794</v>
      </c>
    </row>
    <row r="33" spans="1:11" x14ac:dyDescent="0.25">
      <c r="A33" t="s">
        <v>438</v>
      </c>
      <c r="B33" t="s">
        <v>439</v>
      </c>
      <c r="C33" t="s">
        <v>440</v>
      </c>
      <c r="D33" t="s">
        <v>310</v>
      </c>
      <c r="E33">
        <v>6</v>
      </c>
      <c r="F33" t="s">
        <v>317</v>
      </c>
      <c r="G33" t="s">
        <v>354</v>
      </c>
      <c r="H33" t="s">
        <v>355</v>
      </c>
      <c r="I33" t="s">
        <v>440</v>
      </c>
      <c r="J33">
        <v>2.5030999999999999</v>
      </c>
      <c r="K33">
        <v>116.68142</v>
      </c>
    </row>
    <row r="34" spans="1:11" x14ac:dyDescent="0.25">
      <c r="A34" t="s">
        <v>441</v>
      </c>
      <c r="B34" t="s">
        <v>442</v>
      </c>
      <c r="C34" t="s">
        <v>443</v>
      </c>
      <c r="D34" t="s">
        <v>310</v>
      </c>
      <c r="E34">
        <v>6</v>
      </c>
      <c r="F34" t="s">
        <v>338</v>
      </c>
      <c r="G34" t="s">
        <v>359</v>
      </c>
      <c r="H34" t="s">
        <v>444</v>
      </c>
      <c r="I34" t="s">
        <v>443</v>
      </c>
      <c r="J34">
        <v>-0.88414999999999999</v>
      </c>
      <c r="K34">
        <v>115.95780000000001</v>
      </c>
    </row>
    <row r="35" spans="1:11" x14ac:dyDescent="0.25">
      <c r="A35" t="s">
        <v>99</v>
      </c>
      <c r="B35" t="s">
        <v>445</v>
      </c>
      <c r="C35" t="s">
        <v>446</v>
      </c>
      <c r="D35" t="s">
        <v>310</v>
      </c>
      <c r="E35">
        <v>6</v>
      </c>
      <c r="F35" t="s">
        <v>344</v>
      </c>
      <c r="G35" t="s">
        <v>366</v>
      </c>
      <c r="H35" t="s">
        <v>367</v>
      </c>
      <c r="I35" t="s">
        <v>446</v>
      </c>
      <c r="J35">
        <v>-1.01657</v>
      </c>
      <c r="K35">
        <v>112.43725999999999</v>
      </c>
    </row>
    <row r="36" spans="1:11" x14ac:dyDescent="0.25">
      <c r="A36" t="s">
        <v>447</v>
      </c>
      <c r="B36" t="s">
        <v>448</v>
      </c>
      <c r="C36" t="s">
        <v>449</v>
      </c>
      <c r="D36" t="s">
        <v>310</v>
      </c>
      <c r="E36">
        <v>6</v>
      </c>
      <c r="F36" t="s">
        <v>344</v>
      </c>
      <c r="G36" t="s">
        <v>366</v>
      </c>
      <c r="H36" t="s">
        <v>450</v>
      </c>
      <c r="I36" t="s">
        <v>449</v>
      </c>
      <c r="J36">
        <v>-0.77168999999999999</v>
      </c>
      <c r="K36">
        <v>112.26877</v>
      </c>
    </row>
    <row r="37" spans="1:11" x14ac:dyDescent="0.25">
      <c r="A37" t="s">
        <v>451</v>
      </c>
      <c r="B37" t="s">
        <v>452</v>
      </c>
      <c r="C37" t="s">
        <v>453</v>
      </c>
      <c r="D37" t="s">
        <v>310</v>
      </c>
      <c r="E37">
        <v>6</v>
      </c>
      <c r="F37" t="s">
        <v>317</v>
      </c>
      <c r="G37" t="s">
        <v>318</v>
      </c>
      <c r="H37" t="s">
        <v>396</v>
      </c>
      <c r="I37" t="s">
        <v>453</v>
      </c>
      <c r="J37">
        <v>3.9175</v>
      </c>
      <c r="K37">
        <v>115.66267999999999</v>
      </c>
    </row>
    <row r="38" spans="1:11" x14ac:dyDescent="0.25">
      <c r="A38" t="s">
        <v>454</v>
      </c>
      <c r="B38" t="s">
        <v>455</v>
      </c>
      <c r="C38" t="s">
        <v>456</v>
      </c>
      <c r="D38" t="s">
        <v>310</v>
      </c>
      <c r="E38">
        <v>6</v>
      </c>
      <c r="F38" t="s">
        <v>344</v>
      </c>
      <c r="G38" t="s">
        <v>415</v>
      </c>
      <c r="H38" t="s">
        <v>457</v>
      </c>
      <c r="I38" t="s">
        <v>456</v>
      </c>
      <c r="J38">
        <v>-1.5784100000000001</v>
      </c>
      <c r="K38">
        <v>111.40851000000001</v>
      </c>
    </row>
    <row r="39" spans="1:11" x14ac:dyDescent="0.25">
      <c r="A39" t="s">
        <v>458</v>
      </c>
      <c r="B39" t="s">
        <v>459</v>
      </c>
      <c r="C39" t="s">
        <v>460</v>
      </c>
      <c r="D39" t="s">
        <v>310</v>
      </c>
      <c r="E39">
        <v>6</v>
      </c>
      <c r="F39" t="s">
        <v>311</v>
      </c>
      <c r="G39" t="s">
        <v>328</v>
      </c>
      <c r="H39" t="s">
        <v>461</v>
      </c>
      <c r="I39" t="s">
        <v>460</v>
      </c>
      <c r="J39">
        <v>-0.26358999999999999</v>
      </c>
      <c r="K39">
        <v>112.67829</v>
      </c>
    </row>
    <row r="40" spans="1:11" x14ac:dyDescent="0.25">
      <c r="A40" t="s">
        <v>462</v>
      </c>
      <c r="B40" t="s">
        <v>463</v>
      </c>
      <c r="C40" t="s">
        <v>464</v>
      </c>
      <c r="D40" t="s">
        <v>310</v>
      </c>
      <c r="E40">
        <v>6</v>
      </c>
      <c r="F40" t="s">
        <v>344</v>
      </c>
      <c r="G40" t="s">
        <v>366</v>
      </c>
      <c r="H40" t="s">
        <v>378</v>
      </c>
      <c r="I40" t="s">
        <v>464</v>
      </c>
      <c r="J40">
        <v>-0.85699999999999998</v>
      </c>
      <c r="K40">
        <v>112.9306</v>
      </c>
    </row>
    <row r="41" spans="1:11" x14ac:dyDescent="0.25">
      <c r="A41" t="s">
        <v>465</v>
      </c>
      <c r="B41" t="s">
        <v>466</v>
      </c>
      <c r="C41" t="s">
        <v>467</v>
      </c>
      <c r="D41" t="s">
        <v>310</v>
      </c>
      <c r="E41">
        <v>6</v>
      </c>
      <c r="F41" t="s">
        <v>311</v>
      </c>
      <c r="G41" t="s">
        <v>312</v>
      </c>
      <c r="H41" t="s">
        <v>468</v>
      </c>
      <c r="I41" t="s">
        <v>467</v>
      </c>
      <c r="J41">
        <v>0.46572999999999998</v>
      </c>
      <c r="K41">
        <v>111.75382</v>
      </c>
    </row>
    <row r="42" spans="1:11" x14ac:dyDescent="0.25">
      <c r="A42" t="s">
        <v>469</v>
      </c>
      <c r="B42" t="s">
        <v>470</v>
      </c>
      <c r="C42" t="s">
        <v>471</v>
      </c>
      <c r="D42" t="s">
        <v>310</v>
      </c>
      <c r="E42">
        <v>6</v>
      </c>
      <c r="F42" t="s">
        <v>338</v>
      </c>
      <c r="G42" t="s">
        <v>406</v>
      </c>
      <c r="H42" t="s">
        <v>472</v>
      </c>
      <c r="I42" t="s">
        <v>471</v>
      </c>
      <c r="J42">
        <v>2.3039399999999999</v>
      </c>
      <c r="K42">
        <v>116.69571999999999</v>
      </c>
    </row>
    <row r="43" spans="1:11" x14ac:dyDescent="0.25">
      <c r="A43" t="s">
        <v>473</v>
      </c>
      <c r="B43" t="s">
        <v>474</v>
      </c>
      <c r="C43" t="s">
        <v>475</v>
      </c>
      <c r="D43" t="s">
        <v>310</v>
      </c>
      <c r="E43">
        <v>6</v>
      </c>
      <c r="F43" t="s">
        <v>317</v>
      </c>
      <c r="G43" t="s">
        <v>318</v>
      </c>
      <c r="H43" t="s">
        <v>386</v>
      </c>
      <c r="I43" t="s">
        <v>475</v>
      </c>
      <c r="J43">
        <v>3.9540700000000002</v>
      </c>
      <c r="K43">
        <v>115.71916</v>
      </c>
    </row>
    <row r="44" spans="1:11" x14ac:dyDescent="0.25">
      <c r="A44" t="s">
        <v>476</v>
      </c>
      <c r="B44" t="s">
        <v>477</v>
      </c>
      <c r="C44" t="s">
        <v>478</v>
      </c>
      <c r="D44" t="s">
        <v>310</v>
      </c>
      <c r="E44">
        <v>6</v>
      </c>
      <c r="F44" t="s">
        <v>311</v>
      </c>
      <c r="G44" t="s">
        <v>312</v>
      </c>
      <c r="H44" t="s">
        <v>479</v>
      </c>
      <c r="I44" t="s">
        <v>478</v>
      </c>
      <c r="J44">
        <v>0.64520999999999995</v>
      </c>
      <c r="K44">
        <v>112.07257</v>
      </c>
    </row>
    <row r="45" spans="1:11" x14ac:dyDescent="0.25">
      <c r="A45" t="s">
        <v>480</v>
      </c>
      <c r="B45" t="s">
        <v>481</v>
      </c>
      <c r="C45" t="s">
        <v>482</v>
      </c>
      <c r="D45" t="s">
        <v>310</v>
      </c>
      <c r="E45">
        <v>6</v>
      </c>
      <c r="F45" t="s">
        <v>344</v>
      </c>
      <c r="G45" t="s">
        <v>366</v>
      </c>
      <c r="H45" t="s">
        <v>367</v>
      </c>
      <c r="I45" t="s">
        <v>482</v>
      </c>
      <c r="J45">
        <v>-0.87588999999999995</v>
      </c>
      <c r="K45">
        <v>112.40947</v>
      </c>
    </row>
    <row r="46" spans="1:11" x14ac:dyDescent="0.25">
      <c r="A46" t="s">
        <v>483</v>
      </c>
      <c r="B46" t="s">
        <v>484</v>
      </c>
      <c r="C46" t="s">
        <v>485</v>
      </c>
      <c r="D46" t="s">
        <v>310</v>
      </c>
      <c r="E46">
        <v>6</v>
      </c>
      <c r="F46" t="s">
        <v>311</v>
      </c>
      <c r="G46" t="s">
        <v>312</v>
      </c>
      <c r="H46" t="s">
        <v>486</v>
      </c>
      <c r="I46" t="s">
        <v>485</v>
      </c>
      <c r="J46">
        <v>0.32374999999999998</v>
      </c>
      <c r="K46">
        <v>112.17044</v>
      </c>
    </row>
    <row r="47" spans="1:11" x14ac:dyDescent="0.25">
      <c r="A47" t="s">
        <v>217</v>
      </c>
      <c r="B47" t="s">
        <v>487</v>
      </c>
      <c r="C47" t="s">
        <v>488</v>
      </c>
      <c r="D47" t="s">
        <v>310</v>
      </c>
      <c r="E47">
        <v>6</v>
      </c>
      <c r="F47" t="s">
        <v>344</v>
      </c>
      <c r="G47" t="s">
        <v>370</v>
      </c>
      <c r="H47" t="s">
        <v>371</v>
      </c>
      <c r="I47" t="s">
        <v>488</v>
      </c>
      <c r="J47">
        <v>-1.9491499999999999</v>
      </c>
      <c r="K47">
        <v>112.14937</v>
      </c>
    </row>
    <row r="48" spans="1:11" x14ac:dyDescent="0.25">
      <c r="A48" t="s">
        <v>489</v>
      </c>
      <c r="B48" t="s">
        <v>490</v>
      </c>
      <c r="C48" t="s">
        <v>491</v>
      </c>
      <c r="D48" t="s">
        <v>310</v>
      </c>
      <c r="E48">
        <v>6</v>
      </c>
      <c r="F48" t="s">
        <v>317</v>
      </c>
      <c r="G48" t="s">
        <v>354</v>
      </c>
      <c r="H48" t="s">
        <v>355</v>
      </c>
      <c r="I48" t="s">
        <v>491</v>
      </c>
      <c r="J48">
        <v>2.8057300000000001</v>
      </c>
      <c r="K48">
        <v>116.66536000000001</v>
      </c>
    </row>
    <row r="49" spans="1:11" x14ac:dyDescent="0.25">
      <c r="A49" t="s">
        <v>492</v>
      </c>
      <c r="B49" t="s">
        <v>493</v>
      </c>
      <c r="C49" t="s">
        <v>494</v>
      </c>
      <c r="D49" t="s">
        <v>310</v>
      </c>
      <c r="E49">
        <v>6</v>
      </c>
      <c r="F49" t="s">
        <v>311</v>
      </c>
      <c r="G49" t="s">
        <v>328</v>
      </c>
      <c r="H49" t="s">
        <v>495</v>
      </c>
      <c r="I49" t="s">
        <v>494</v>
      </c>
      <c r="J49">
        <v>0.88714000000000004</v>
      </c>
      <c r="K49">
        <v>111.24741</v>
      </c>
    </row>
    <row r="50" spans="1:11" x14ac:dyDescent="0.25">
      <c r="A50" t="s">
        <v>83</v>
      </c>
      <c r="B50" t="s">
        <v>496</v>
      </c>
      <c r="C50" t="s">
        <v>497</v>
      </c>
      <c r="D50" t="s">
        <v>310</v>
      </c>
      <c r="E50">
        <v>6</v>
      </c>
      <c r="F50" t="s">
        <v>311</v>
      </c>
      <c r="G50" t="s">
        <v>328</v>
      </c>
      <c r="H50" t="s">
        <v>498</v>
      </c>
      <c r="I50" t="s">
        <v>497</v>
      </c>
      <c r="J50">
        <v>-0.37741999999999998</v>
      </c>
      <c r="K50">
        <v>111.32026999999999</v>
      </c>
    </row>
    <row r="51" spans="1:11" x14ac:dyDescent="0.25">
      <c r="A51" t="s">
        <v>499</v>
      </c>
      <c r="B51" t="s">
        <v>500</v>
      </c>
      <c r="C51" t="s">
        <v>501</v>
      </c>
      <c r="D51" t="s">
        <v>310</v>
      </c>
      <c r="E51">
        <v>6</v>
      </c>
      <c r="F51" t="s">
        <v>338</v>
      </c>
      <c r="G51" t="s">
        <v>339</v>
      </c>
      <c r="H51" t="s">
        <v>502</v>
      </c>
      <c r="I51" t="s">
        <v>501</v>
      </c>
      <c r="J51">
        <v>0.86878999999999995</v>
      </c>
      <c r="K51">
        <v>114.65946</v>
      </c>
    </row>
    <row r="52" spans="1:11" x14ac:dyDescent="0.25">
      <c r="A52" t="s">
        <v>44</v>
      </c>
      <c r="B52" t="s">
        <v>503</v>
      </c>
      <c r="C52" t="s">
        <v>504</v>
      </c>
      <c r="D52" t="s">
        <v>310</v>
      </c>
      <c r="E52">
        <v>6</v>
      </c>
      <c r="F52" t="s">
        <v>311</v>
      </c>
      <c r="G52" t="s">
        <v>323</v>
      </c>
      <c r="H52" t="s">
        <v>505</v>
      </c>
      <c r="I52" t="s">
        <v>504</v>
      </c>
      <c r="J52">
        <v>-0.50804000000000005</v>
      </c>
      <c r="K52">
        <v>111.8493</v>
      </c>
    </row>
    <row r="53" spans="1:11" x14ac:dyDescent="0.25">
      <c r="A53" t="s">
        <v>506</v>
      </c>
      <c r="B53" t="s">
        <v>507</v>
      </c>
      <c r="C53" t="s">
        <v>508</v>
      </c>
      <c r="D53" t="s">
        <v>310</v>
      </c>
      <c r="E53">
        <v>6</v>
      </c>
      <c r="F53" t="s">
        <v>311</v>
      </c>
      <c r="G53" t="s">
        <v>509</v>
      </c>
      <c r="H53" t="s">
        <v>510</v>
      </c>
      <c r="I53" t="s">
        <v>508</v>
      </c>
      <c r="J53">
        <v>-0.85877000000000003</v>
      </c>
      <c r="K53">
        <v>110.33216</v>
      </c>
    </row>
    <row r="54" spans="1:11" x14ac:dyDescent="0.25">
      <c r="A54" t="s">
        <v>511</v>
      </c>
      <c r="B54" t="s">
        <v>512</v>
      </c>
      <c r="C54" t="s">
        <v>513</v>
      </c>
      <c r="D54" t="s">
        <v>310</v>
      </c>
      <c r="E54">
        <v>6</v>
      </c>
      <c r="F54" t="s">
        <v>311</v>
      </c>
      <c r="G54" t="s">
        <v>323</v>
      </c>
      <c r="H54" t="s">
        <v>514</v>
      </c>
      <c r="I54" t="s">
        <v>513</v>
      </c>
      <c r="J54">
        <v>-0.98116999999999999</v>
      </c>
      <c r="K54">
        <v>111.4513</v>
      </c>
    </row>
    <row r="55" spans="1:11" x14ac:dyDescent="0.25">
      <c r="A55" t="s">
        <v>515</v>
      </c>
      <c r="B55" t="s">
        <v>516</v>
      </c>
      <c r="C55" t="s">
        <v>517</v>
      </c>
      <c r="D55" t="s">
        <v>310</v>
      </c>
      <c r="E55">
        <v>6</v>
      </c>
      <c r="F55" t="s">
        <v>311</v>
      </c>
      <c r="G55" t="s">
        <v>312</v>
      </c>
      <c r="H55" t="s">
        <v>518</v>
      </c>
      <c r="I55" t="s">
        <v>517</v>
      </c>
      <c r="J55">
        <v>0.46022000000000002</v>
      </c>
      <c r="K55">
        <v>111.89162</v>
      </c>
    </row>
    <row r="56" spans="1:11" x14ac:dyDescent="0.25">
      <c r="A56" t="s">
        <v>519</v>
      </c>
      <c r="B56" t="s">
        <v>520</v>
      </c>
      <c r="C56" t="s">
        <v>521</v>
      </c>
      <c r="D56" t="s">
        <v>310</v>
      </c>
      <c r="E56">
        <v>6</v>
      </c>
      <c r="F56" t="s">
        <v>338</v>
      </c>
      <c r="G56" t="s">
        <v>339</v>
      </c>
      <c r="H56" t="s">
        <v>522</v>
      </c>
      <c r="I56" t="s">
        <v>521</v>
      </c>
      <c r="J56">
        <v>0.77508999999999995</v>
      </c>
      <c r="K56">
        <v>114.2808</v>
      </c>
    </row>
    <row r="57" spans="1:11" x14ac:dyDescent="0.25">
      <c r="A57" t="s">
        <v>523</v>
      </c>
      <c r="B57" t="s">
        <v>524</v>
      </c>
      <c r="C57" t="s">
        <v>525</v>
      </c>
      <c r="D57" t="s">
        <v>310</v>
      </c>
      <c r="E57">
        <v>6</v>
      </c>
      <c r="F57" t="s">
        <v>317</v>
      </c>
      <c r="G57" t="s">
        <v>318</v>
      </c>
      <c r="H57" t="s">
        <v>319</v>
      </c>
      <c r="I57" t="s">
        <v>525</v>
      </c>
      <c r="J57">
        <v>3.5790199999999999</v>
      </c>
      <c r="K57">
        <v>115.72002000000001</v>
      </c>
    </row>
    <row r="58" spans="1:11" x14ac:dyDescent="0.25">
      <c r="A58" t="s">
        <v>526</v>
      </c>
      <c r="B58" t="s">
        <v>527</v>
      </c>
      <c r="C58" t="s">
        <v>528</v>
      </c>
      <c r="D58" t="s">
        <v>310</v>
      </c>
      <c r="E58">
        <v>6</v>
      </c>
      <c r="F58" t="s">
        <v>344</v>
      </c>
      <c r="G58" t="s">
        <v>366</v>
      </c>
      <c r="H58" t="s">
        <v>367</v>
      </c>
      <c r="I58" t="s">
        <v>528</v>
      </c>
      <c r="J58">
        <v>-0.97196000000000005</v>
      </c>
      <c r="K58">
        <v>112.44562000000001</v>
      </c>
    </row>
    <row r="59" spans="1:11" x14ac:dyDescent="0.25">
      <c r="A59" t="s">
        <v>529</v>
      </c>
      <c r="B59" t="s">
        <v>530</v>
      </c>
      <c r="C59" t="s">
        <v>531</v>
      </c>
      <c r="D59" t="s">
        <v>310</v>
      </c>
      <c r="E59">
        <v>6</v>
      </c>
      <c r="F59" t="s">
        <v>311</v>
      </c>
      <c r="G59" t="s">
        <v>436</v>
      </c>
      <c r="H59" t="s">
        <v>532</v>
      </c>
      <c r="I59" t="s">
        <v>531</v>
      </c>
      <c r="J59">
        <v>0.66252</v>
      </c>
      <c r="K59">
        <v>109.65937</v>
      </c>
    </row>
    <row r="60" spans="1:11" x14ac:dyDescent="0.25">
      <c r="A60" t="s">
        <v>533</v>
      </c>
      <c r="B60" t="s">
        <v>534</v>
      </c>
      <c r="C60" t="s">
        <v>535</v>
      </c>
      <c r="D60" t="s">
        <v>310</v>
      </c>
      <c r="E60">
        <v>6</v>
      </c>
      <c r="F60" t="s">
        <v>311</v>
      </c>
      <c r="G60" t="s">
        <v>312</v>
      </c>
      <c r="H60" t="s">
        <v>536</v>
      </c>
      <c r="I60" t="s">
        <v>535</v>
      </c>
      <c r="J60">
        <v>0.35975000000000001</v>
      </c>
      <c r="K60">
        <v>112.34726999999999</v>
      </c>
    </row>
    <row r="61" spans="1:11" x14ac:dyDescent="0.25">
      <c r="A61" t="s">
        <v>537</v>
      </c>
      <c r="B61" t="s">
        <v>538</v>
      </c>
      <c r="C61" t="s">
        <v>539</v>
      </c>
      <c r="D61" t="s">
        <v>310</v>
      </c>
      <c r="E61">
        <v>6</v>
      </c>
      <c r="F61" t="s">
        <v>311</v>
      </c>
      <c r="G61" t="s">
        <v>328</v>
      </c>
      <c r="H61" t="s">
        <v>540</v>
      </c>
      <c r="I61" t="s">
        <v>539</v>
      </c>
      <c r="J61">
        <v>8.5980000000000001E-2</v>
      </c>
      <c r="K61">
        <v>111.66867000000001</v>
      </c>
    </row>
    <row r="62" spans="1:11" x14ac:dyDescent="0.25">
      <c r="A62" t="s">
        <v>541</v>
      </c>
      <c r="B62" t="s">
        <v>542</v>
      </c>
      <c r="C62" t="s">
        <v>543</v>
      </c>
      <c r="D62" t="s">
        <v>310</v>
      </c>
      <c r="E62">
        <v>6</v>
      </c>
      <c r="F62" t="s">
        <v>338</v>
      </c>
      <c r="G62" t="s">
        <v>406</v>
      </c>
      <c r="H62" t="s">
        <v>472</v>
      </c>
      <c r="I62" t="s">
        <v>543</v>
      </c>
      <c r="J62">
        <v>2.23061</v>
      </c>
      <c r="K62">
        <v>116.75791</v>
      </c>
    </row>
    <row r="63" spans="1:11" x14ac:dyDescent="0.25">
      <c r="A63" t="s">
        <v>544</v>
      </c>
      <c r="B63" t="s">
        <v>545</v>
      </c>
      <c r="C63" t="s">
        <v>546</v>
      </c>
      <c r="D63" t="s">
        <v>310</v>
      </c>
      <c r="E63">
        <v>6</v>
      </c>
      <c r="F63" t="s">
        <v>311</v>
      </c>
      <c r="G63" t="s">
        <v>312</v>
      </c>
      <c r="H63" t="s">
        <v>547</v>
      </c>
      <c r="I63" t="s">
        <v>546</v>
      </c>
      <c r="J63">
        <v>0.51578999999999997</v>
      </c>
      <c r="K63">
        <v>112.92183</v>
      </c>
    </row>
    <row r="64" spans="1:11" x14ac:dyDescent="0.25">
      <c r="A64" t="s">
        <v>80</v>
      </c>
      <c r="B64" t="s">
        <v>548</v>
      </c>
      <c r="C64" t="s">
        <v>549</v>
      </c>
      <c r="D64" t="s">
        <v>310</v>
      </c>
      <c r="E64">
        <v>6</v>
      </c>
      <c r="F64" t="s">
        <v>311</v>
      </c>
      <c r="G64" t="s">
        <v>312</v>
      </c>
      <c r="H64" t="s">
        <v>550</v>
      </c>
      <c r="I64" t="s">
        <v>549</v>
      </c>
      <c r="J64">
        <v>0.88585000000000003</v>
      </c>
      <c r="K64">
        <v>111.82314</v>
      </c>
    </row>
    <row r="65" spans="1:11" x14ac:dyDescent="0.25">
      <c r="A65" t="s">
        <v>551</v>
      </c>
      <c r="B65" t="s">
        <v>552</v>
      </c>
      <c r="C65" t="s">
        <v>553</v>
      </c>
      <c r="D65" t="s">
        <v>310</v>
      </c>
      <c r="E65">
        <v>6</v>
      </c>
      <c r="F65" t="s">
        <v>317</v>
      </c>
      <c r="G65" t="s">
        <v>318</v>
      </c>
      <c r="H65" t="s">
        <v>554</v>
      </c>
      <c r="I65" t="s">
        <v>553</v>
      </c>
      <c r="J65">
        <v>3.94001</v>
      </c>
      <c r="K65">
        <v>116.54189</v>
      </c>
    </row>
    <row r="66" spans="1:11" x14ac:dyDescent="0.25">
      <c r="A66" t="s">
        <v>555</v>
      </c>
      <c r="B66" t="s">
        <v>556</v>
      </c>
      <c r="C66" t="s">
        <v>557</v>
      </c>
      <c r="D66" t="s">
        <v>310</v>
      </c>
      <c r="E66">
        <v>6</v>
      </c>
      <c r="F66" t="s">
        <v>311</v>
      </c>
      <c r="G66" t="s">
        <v>312</v>
      </c>
      <c r="H66" t="s">
        <v>313</v>
      </c>
      <c r="I66" t="s">
        <v>557</v>
      </c>
      <c r="J66">
        <v>0.96794999999999998</v>
      </c>
      <c r="K66">
        <v>111.86174</v>
      </c>
    </row>
    <row r="67" spans="1:11" x14ac:dyDescent="0.25">
      <c r="A67" t="s">
        <v>154</v>
      </c>
      <c r="B67" t="s">
        <v>558</v>
      </c>
      <c r="C67" t="s">
        <v>559</v>
      </c>
      <c r="D67" t="s">
        <v>310</v>
      </c>
      <c r="E67">
        <v>6</v>
      </c>
      <c r="F67" t="s">
        <v>311</v>
      </c>
      <c r="G67" t="s">
        <v>509</v>
      </c>
      <c r="H67" t="s">
        <v>560</v>
      </c>
      <c r="I67" t="s">
        <v>559</v>
      </c>
      <c r="J67">
        <v>-0.59187000000000001</v>
      </c>
      <c r="K67">
        <v>110.4734</v>
      </c>
    </row>
    <row r="68" spans="1:11" x14ac:dyDescent="0.25">
      <c r="A68" t="s">
        <v>561</v>
      </c>
      <c r="B68" t="s">
        <v>562</v>
      </c>
      <c r="C68" t="s">
        <v>563</v>
      </c>
      <c r="D68" t="s">
        <v>310</v>
      </c>
      <c r="E68">
        <v>6</v>
      </c>
      <c r="F68" t="s">
        <v>317</v>
      </c>
      <c r="G68" t="s">
        <v>318</v>
      </c>
      <c r="H68" t="s">
        <v>564</v>
      </c>
      <c r="I68" t="s">
        <v>563</v>
      </c>
      <c r="J68">
        <v>3.8539599999999998</v>
      </c>
      <c r="K68">
        <v>116.68521</v>
      </c>
    </row>
    <row r="69" spans="1:11" x14ac:dyDescent="0.25">
      <c r="A69" t="s">
        <v>565</v>
      </c>
      <c r="B69" t="s">
        <v>566</v>
      </c>
      <c r="C69" t="s">
        <v>567</v>
      </c>
      <c r="D69" t="s">
        <v>310</v>
      </c>
      <c r="E69">
        <v>6</v>
      </c>
      <c r="F69" t="s">
        <v>311</v>
      </c>
      <c r="G69" t="s">
        <v>509</v>
      </c>
      <c r="H69" t="s">
        <v>560</v>
      </c>
      <c r="I69" t="s">
        <v>567</v>
      </c>
      <c r="J69">
        <v>-0.67225999999999997</v>
      </c>
      <c r="K69">
        <v>110.52782000000001</v>
      </c>
    </row>
    <row r="70" spans="1:11" x14ac:dyDescent="0.25">
      <c r="A70" t="s">
        <v>31</v>
      </c>
      <c r="B70" t="s">
        <v>568</v>
      </c>
      <c r="C70" t="s">
        <v>569</v>
      </c>
      <c r="D70" t="s">
        <v>310</v>
      </c>
      <c r="E70">
        <v>6</v>
      </c>
      <c r="F70" t="s">
        <v>311</v>
      </c>
      <c r="G70" t="s">
        <v>312</v>
      </c>
      <c r="H70" t="s">
        <v>570</v>
      </c>
      <c r="I70" t="s">
        <v>569</v>
      </c>
      <c r="J70">
        <v>0.34076000000000001</v>
      </c>
      <c r="K70">
        <v>112.98254</v>
      </c>
    </row>
    <row r="71" spans="1:11" x14ac:dyDescent="0.25">
      <c r="A71" t="s">
        <v>571</v>
      </c>
      <c r="B71" t="s">
        <v>572</v>
      </c>
      <c r="C71" t="s">
        <v>573</v>
      </c>
      <c r="D71" t="s">
        <v>310</v>
      </c>
      <c r="E71">
        <v>6</v>
      </c>
      <c r="F71" t="s">
        <v>311</v>
      </c>
      <c r="G71" t="s">
        <v>323</v>
      </c>
      <c r="H71" t="s">
        <v>574</v>
      </c>
      <c r="I71" t="s">
        <v>573</v>
      </c>
      <c r="J71">
        <v>-0.53066000000000002</v>
      </c>
      <c r="K71">
        <v>111.9599</v>
      </c>
    </row>
    <row r="72" spans="1:11" x14ac:dyDescent="0.25">
      <c r="A72" t="s">
        <v>575</v>
      </c>
      <c r="B72" t="s">
        <v>576</v>
      </c>
      <c r="C72" t="s">
        <v>577</v>
      </c>
      <c r="D72" t="s">
        <v>310</v>
      </c>
      <c r="E72">
        <v>6</v>
      </c>
      <c r="F72" t="s">
        <v>311</v>
      </c>
      <c r="G72" t="s">
        <v>323</v>
      </c>
      <c r="H72" t="s">
        <v>514</v>
      </c>
      <c r="I72" t="s">
        <v>577</v>
      </c>
      <c r="J72">
        <v>-1.00963</v>
      </c>
      <c r="K72">
        <v>111.49978</v>
      </c>
    </row>
    <row r="73" spans="1:11" x14ac:dyDescent="0.25">
      <c r="A73" t="s">
        <v>578</v>
      </c>
      <c r="B73" t="s">
        <v>579</v>
      </c>
      <c r="C73" t="s">
        <v>580</v>
      </c>
      <c r="D73" t="s">
        <v>310</v>
      </c>
      <c r="E73">
        <v>6</v>
      </c>
      <c r="F73" t="s">
        <v>317</v>
      </c>
      <c r="G73" t="s">
        <v>318</v>
      </c>
      <c r="H73" t="s">
        <v>554</v>
      </c>
      <c r="I73" t="s">
        <v>580</v>
      </c>
      <c r="J73">
        <v>3.8592200000000001</v>
      </c>
      <c r="K73">
        <v>116.6743</v>
      </c>
    </row>
    <row r="74" spans="1:11" x14ac:dyDescent="0.25">
      <c r="A74" t="s">
        <v>581</v>
      </c>
      <c r="B74" t="s">
        <v>582</v>
      </c>
      <c r="C74" t="s">
        <v>583</v>
      </c>
      <c r="D74" t="s">
        <v>310</v>
      </c>
      <c r="E74">
        <v>6</v>
      </c>
      <c r="F74" t="s">
        <v>317</v>
      </c>
      <c r="G74" t="s">
        <v>318</v>
      </c>
      <c r="H74" t="s">
        <v>319</v>
      </c>
      <c r="I74" t="s">
        <v>583</v>
      </c>
      <c r="J74">
        <v>3.5895800000000002</v>
      </c>
      <c r="K74">
        <v>115.72819</v>
      </c>
    </row>
    <row r="75" spans="1:11" x14ac:dyDescent="0.25">
      <c r="A75" t="s">
        <v>584</v>
      </c>
      <c r="B75" t="s">
        <v>585</v>
      </c>
      <c r="C75" t="s">
        <v>586</v>
      </c>
      <c r="D75" t="s">
        <v>310</v>
      </c>
      <c r="E75">
        <v>6</v>
      </c>
      <c r="F75" t="s">
        <v>311</v>
      </c>
      <c r="G75" t="s">
        <v>509</v>
      </c>
      <c r="H75" t="s">
        <v>560</v>
      </c>
      <c r="I75" t="s">
        <v>586</v>
      </c>
      <c r="J75">
        <v>-0.46096999999999999</v>
      </c>
      <c r="K75">
        <v>110.01351</v>
      </c>
    </row>
    <row r="76" spans="1:11" x14ac:dyDescent="0.25">
      <c r="A76" t="s">
        <v>224</v>
      </c>
      <c r="B76" t="s">
        <v>587</v>
      </c>
      <c r="C76" t="s">
        <v>588</v>
      </c>
      <c r="D76" t="s">
        <v>310</v>
      </c>
      <c r="E76">
        <v>6</v>
      </c>
      <c r="F76" t="s">
        <v>311</v>
      </c>
      <c r="G76" t="s">
        <v>323</v>
      </c>
      <c r="H76" t="s">
        <v>574</v>
      </c>
      <c r="I76" t="s">
        <v>588</v>
      </c>
      <c r="J76">
        <v>-0.55344000000000004</v>
      </c>
      <c r="K76">
        <v>112.11271000000001</v>
      </c>
    </row>
    <row r="77" spans="1:11" x14ac:dyDescent="0.25">
      <c r="A77" t="s">
        <v>589</v>
      </c>
      <c r="B77" t="s">
        <v>590</v>
      </c>
      <c r="C77" t="s">
        <v>591</v>
      </c>
      <c r="D77" t="s">
        <v>310</v>
      </c>
      <c r="E77">
        <v>6</v>
      </c>
      <c r="F77" t="s">
        <v>311</v>
      </c>
      <c r="G77" t="s">
        <v>323</v>
      </c>
      <c r="H77" t="s">
        <v>324</v>
      </c>
      <c r="I77" t="s">
        <v>591</v>
      </c>
      <c r="J77">
        <v>-0.83909999999999996</v>
      </c>
      <c r="K77">
        <v>111.33662</v>
      </c>
    </row>
    <row r="78" spans="1:11" x14ac:dyDescent="0.25">
      <c r="A78" t="s">
        <v>592</v>
      </c>
      <c r="B78" t="s">
        <v>593</v>
      </c>
      <c r="C78" t="s">
        <v>594</v>
      </c>
      <c r="D78" t="s">
        <v>310</v>
      </c>
      <c r="E78">
        <v>6</v>
      </c>
      <c r="F78" t="s">
        <v>311</v>
      </c>
      <c r="G78" t="s">
        <v>312</v>
      </c>
      <c r="H78" t="s">
        <v>595</v>
      </c>
      <c r="I78" t="s">
        <v>594</v>
      </c>
      <c r="J78">
        <v>0.38396000000000002</v>
      </c>
      <c r="K78">
        <v>112.4348</v>
      </c>
    </row>
    <row r="79" spans="1:11" x14ac:dyDescent="0.25">
      <c r="A79" t="s">
        <v>182</v>
      </c>
      <c r="B79" t="s">
        <v>596</v>
      </c>
      <c r="C79" t="s">
        <v>597</v>
      </c>
      <c r="D79" t="s">
        <v>310</v>
      </c>
      <c r="E79">
        <v>6</v>
      </c>
      <c r="F79" t="s">
        <v>311</v>
      </c>
      <c r="G79" t="s">
        <v>598</v>
      </c>
      <c r="H79" t="s">
        <v>599</v>
      </c>
      <c r="I79" t="s">
        <v>597</v>
      </c>
      <c r="J79">
        <v>-1.50379</v>
      </c>
      <c r="K79">
        <v>109.38229</v>
      </c>
    </row>
    <row r="80" spans="1:11" x14ac:dyDescent="0.25">
      <c r="A80" t="s">
        <v>600</v>
      </c>
      <c r="B80" t="s">
        <v>601</v>
      </c>
      <c r="C80" t="s">
        <v>602</v>
      </c>
      <c r="D80" t="s">
        <v>310</v>
      </c>
      <c r="E80">
        <v>6</v>
      </c>
      <c r="F80" t="s">
        <v>344</v>
      </c>
      <c r="G80" t="s">
        <v>370</v>
      </c>
      <c r="H80" t="s">
        <v>603</v>
      </c>
      <c r="I80" t="s">
        <v>602</v>
      </c>
      <c r="J80">
        <v>-1.3035300000000001</v>
      </c>
      <c r="K80">
        <v>111.78149999999999</v>
      </c>
    </row>
    <row r="81" spans="1:11" x14ac:dyDescent="0.25">
      <c r="A81" t="s">
        <v>75</v>
      </c>
      <c r="B81" t="s">
        <v>604</v>
      </c>
      <c r="C81" t="s">
        <v>605</v>
      </c>
      <c r="D81" t="s">
        <v>310</v>
      </c>
      <c r="E81">
        <v>6</v>
      </c>
      <c r="F81" t="s">
        <v>311</v>
      </c>
      <c r="G81" t="s">
        <v>323</v>
      </c>
      <c r="H81" t="s">
        <v>505</v>
      </c>
      <c r="I81" t="s">
        <v>605</v>
      </c>
      <c r="J81">
        <v>-0.52663000000000004</v>
      </c>
      <c r="K81">
        <v>111.8817</v>
      </c>
    </row>
    <row r="82" spans="1:11" x14ac:dyDescent="0.25">
      <c r="A82" t="s">
        <v>70</v>
      </c>
      <c r="B82" t="s">
        <v>606</v>
      </c>
      <c r="C82" t="s">
        <v>607</v>
      </c>
      <c r="D82" t="s">
        <v>310</v>
      </c>
      <c r="E82">
        <v>6</v>
      </c>
      <c r="F82" t="s">
        <v>311</v>
      </c>
      <c r="G82" t="s">
        <v>436</v>
      </c>
      <c r="H82" t="s">
        <v>608</v>
      </c>
      <c r="I82" t="s">
        <v>607</v>
      </c>
      <c r="J82">
        <v>0.50273999999999996</v>
      </c>
      <c r="K82">
        <v>109.54523</v>
      </c>
    </row>
    <row r="83" spans="1:11" x14ac:dyDescent="0.25">
      <c r="A83" t="s">
        <v>609</v>
      </c>
      <c r="B83" t="s">
        <v>610</v>
      </c>
      <c r="C83" t="s">
        <v>611</v>
      </c>
      <c r="D83" t="s">
        <v>310</v>
      </c>
      <c r="E83">
        <v>6</v>
      </c>
      <c r="F83" t="s">
        <v>311</v>
      </c>
      <c r="G83" t="s">
        <v>323</v>
      </c>
      <c r="H83" t="s">
        <v>324</v>
      </c>
      <c r="I83" t="s">
        <v>611</v>
      </c>
      <c r="J83">
        <v>-0.68025999999999998</v>
      </c>
      <c r="K83">
        <v>111.39982999999999</v>
      </c>
    </row>
    <row r="84" spans="1:11" x14ac:dyDescent="0.25">
      <c r="A84" t="s">
        <v>612</v>
      </c>
      <c r="B84" t="s">
        <v>613</v>
      </c>
      <c r="C84" t="s">
        <v>614</v>
      </c>
      <c r="D84" t="s">
        <v>310</v>
      </c>
      <c r="E84">
        <v>6</v>
      </c>
      <c r="F84" t="s">
        <v>311</v>
      </c>
      <c r="G84" t="s">
        <v>328</v>
      </c>
      <c r="H84" t="s">
        <v>615</v>
      </c>
      <c r="I84" t="s">
        <v>614</v>
      </c>
      <c r="J84">
        <v>0.66315999999999997</v>
      </c>
      <c r="K84">
        <v>111.20514</v>
      </c>
    </row>
    <row r="85" spans="1:11" x14ac:dyDescent="0.25">
      <c r="A85" t="s">
        <v>616</v>
      </c>
      <c r="B85" t="s">
        <v>617</v>
      </c>
      <c r="C85" t="s">
        <v>618</v>
      </c>
      <c r="D85" t="s">
        <v>310</v>
      </c>
      <c r="E85">
        <v>6</v>
      </c>
      <c r="F85" t="s">
        <v>311</v>
      </c>
      <c r="G85" t="s">
        <v>328</v>
      </c>
      <c r="H85" t="s">
        <v>495</v>
      </c>
      <c r="I85" t="s">
        <v>618</v>
      </c>
      <c r="J85">
        <v>0.77100999999999997</v>
      </c>
      <c r="K85">
        <v>111.05161</v>
      </c>
    </row>
    <row r="86" spans="1:11" x14ac:dyDescent="0.25">
      <c r="A86" t="s">
        <v>162</v>
      </c>
      <c r="B86" t="s">
        <v>619</v>
      </c>
      <c r="C86" t="s">
        <v>620</v>
      </c>
      <c r="D86" t="s">
        <v>310</v>
      </c>
      <c r="E86">
        <v>6</v>
      </c>
      <c r="F86" t="s">
        <v>311</v>
      </c>
      <c r="G86" t="s">
        <v>312</v>
      </c>
      <c r="H86" t="s">
        <v>486</v>
      </c>
      <c r="I86" t="s">
        <v>620</v>
      </c>
      <c r="J86">
        <v>0.41211999999999999</v>
      </c>
      <c r="K86">
        <v>112.0351</v>
      </c>
    </row>
    <row r="87" spans="1:11" x14ac:dyDescent="0.25">
      <c r="A87" t="s">
        <v>621</v>
      </c>
      <c r="B87" t="s">
        <v>622</v>
      </c>
      <c r="C87" t="s">
        <v>623</v>
      </c>
      <c r="D87" t="s">
        <v>310</v>
      </c>
      <c r="E87">
        <v>6</v>
      </c>
      <c r="F87" t="s">
        <v>311</v>
      </c>
      <c r="G87" t="s">
        <v>323</v>
      </c>
      <c r="H87" t="s">
        <v>514</v>
      </c>
      <c r="I87" t="s">
        <v>623</v>
      </c>
      <c r="J87">
        <v>-1.1535599999999999</v>
      </c>
      <c r="K87">
        <v>111.38495</v>
      </c>
    </row>
    <row r="88" spans="1:11" x14ac:dyDescent="0.25">
      <c r="A88" t="s">
        <v>624</v>
      </c>
      <c r="B88" t="s">
        <v>625</v>
      </c>
      <c r="C88" t="s">
        <v>626</v>
      </c>
      <c r="D88" t="s">
        <v>310</v>
      </c>
      <c r="E88">
        <v>6</v>
      </c>
      <c r="F88" t="s">
        <v>311</v>
      </c>
      <c r="G88" t="s">
        <v>328</v>
      </c>
      <c r="H88" t="s">
        <v>495</v>
      </c>
      <c r="I88" t="s">
        <v>626</v>
      </c>
      <c r="J88">
        <v>0.74112</v>
      </c>
      <c r="K88">
        <v>111.25315000000001</v>
      </c>
    </row>
    <row r="89" spans="1:11" x14ac:dyDescent="0.25">
      <c r="A89" t="s">
        <v>627</v>
      </c>
      <c r="B89" t="s">
        <v>628</v>
      </c>
      <c r="C89" t="s">
        <v>629</v>
      </c>
      <c r="D89" t="s">
        <v>310</v>
      </c>
      <c r="E89">
        <v>6</v>
      </c>
      <c r="F89" t="s">
        <v>311</v>
      </c>
      <c r="G89" t="s">
        <v>630</v>
      </c>
      <c r="H89" t="s">
        <v>631</v>
      </c>
      <c r="I89" t="s">
        <v>629</v>
      </c>
      <c r="J89">
        <v>0.86736000000000002</v>
      </c>
      <c r="K89">
        <v>109.67310000000001</v>
      </c>
    </row>
    <row r="90" spans="1:11" x14ac:dyDescent="0.25">
      <c r="A90" t="s">
        <v>632</v>
      </c>
      <c r="B90" t="s">
        <v>633</v>
      </c>
      <c r="C90" t="s">
        <v>634</v>
      </c>
      <c r="D90" t="s">
        <v>310</v>
      </c>
      <c r="E90">
        <v>6</v>
      </c>
      <c r="F90" t="s">
        <v>311</v>
      </c>
      <c r="G90" t="s">
        <v>436</v>
      </c>
      <c r="H90" t="s">
        <v>635</v>
      </c>
      <c r="I90" t="s">
        <v>634</v>
      </c>
      <c r="J90">
        <v>0.73245000000000005</v>
      </c>
      <c r="K90">
        <v>110.02912999999999</v>
      </c>
    </row>
    <row r="91" spans="1:11" x14ac:dyDescent="0.25">
      <c r="A91" t="s">
        <v>636</v>
      </c>
      <c r="B91" t="s">
        <v>637</v>
      </c>
      <c r="C91" t="s">
        <v>638</v>
      </c>
      <c r="D91" t="s">
        <v>310</v>
      </c>
      <c r="E91">
        <v>6</v>
      </c>
      <c r="F91" t="s">
        <v>311</v>
      </c>
      <c r="G91" t="s">
        <v>328</v>
      </c>
      <c r="H91" t="s">
        <v>329</v>
      </c>
      <c r="I91" t="s">
        <v>638</v>
      </c>
      <c r="J91">
        <v>-2.4389999999999998E-2</v>
      </c>
      <c r="K91">
        <v>112.29492</v>
      </c>
    </row>
    <row r="92" spans="1:11" x14ac:dyDescent="0.25">
      <c r="A92" t="s">
        <v>19</v>
      </c>
      <c r="B92" t="s">
        <v>639</v>
      </c>
      <c r="C92" t="s">
        <v>640</v>
      </c>
      <c r="D92" t="s">
        <v>310</v>
      </c>
      <c r="E92">
        <v>6</v>
      </c>
      <c r="F92" t="s">
        <v>311</v>
      </c>
      <c r="G92" t="s">
        <v>328</v>
      </c>
      <c r="H92" t="s">
        <v>495</v>
      </c>
      <c r="I92" t="s">
        <v>640</v>
      </c>
      <c r="J92">
        <v>0.94313000000000002</v>
      </c>
      <c r="K92">
        <v>111.09341000000001</v>
      </c>
    </row>
    <row r="93" spans="1:11" x14ac:dyDescent="0.25">
      <c r="A93" t="s">
        <v>61</v>
      </c>
      <c r="B93" t="s">
        <v>641</v>
      </c>
      <c r="C93" t="s">
        <v>642</v>
      </c>
      <c r="D93" t="s">
        <v>310</v>
      </c>
      <c r="E93">
        <v>6</v>
      </c>
      <c r="F93" t="s">
        <v>344</v>
      </c>
      <c r="G93" t="s">
        <v>366</v>
      </c>
      <c r="H93" t="s">
        <v>643</v>
      </c>
      <c r="I93" t="s">
        <v>642</v>
      </c>
      <c r="J93">
        <v>-1.0913999999999999</v>
      </c>
      <c r="K93">
        <v>113.22205</v>
      </c>
    </row>
    <row r="94" spans="1:11" x14ac:dyDescent="0.25">
      <c r="A94" t="s">
        <v>644</v>
      </c>
      <c r="B94" t="s">
        <v>645</v>
      </c>
      <c r="C94" t="s">
        <v>646</v>
      </c>
      <c r="D94" t="s">
        <v>310</v>
      </c>
      <c r="E94">
        <v>6</v>
      </c>
      <c r="F94" t="s">
        <v>344</v>
      </c>
      <c r="G94" t="s">
        <v>370</v>
      </c>
      <c r="H94" t="s">
        <v>647</v>
      </c>
      <c r="I94" t="s">
        <v>646</v>
      </c>
      <c r="J94">
        <v>-0.74911000000000005</v>
      </c>
      <c r="K94">
        <v>112.09774</v>
      </c>
    </row>
    <row r="95" spans="1:11" x14ac:dyDescent="0.25">
      <c r="A95" t="s">
        <v>648</v>
      </c>
      <c r="B95" t="s">
        <v>649</v>
      </c>
      <c r="C95" t="s">
        <v>650</v>
      </c>
      <c r="D95" t="s">
        <v>310</v>
      </c>
      <c r="E95">
        <v>6</v>
      </c>
      <c r="F95" t="s">
        <v>311</v>
      </c>
      <c r="G95" t="s">
        <v>509</v>
      </c>
      <c r="H95" t="s">
        <v>651</v>
      </c>
      <c r="I95" t="s">
        <v>650</v>
      </c>
      <c r="J95">
        <v>-1.12863</v>
      </c>
      <c r="K95">
        <v>110.59947</v>
      </c>
    </row>
    <row r="96" spans="1:11" x14ac:dyDescent="0.25">
      <c r="A96" t="s">
        <v>652</v>
      </c>
      <c r="B96" t="s">
        <v>653</v>
      </c>
      <c r="C96" t="s">
        <v>654</v>
      </c>
      <c r="D96" t="s">
        <v>310</v>
      </c>
      <c r="E96">
        <v>6</v>
      </c>
      <c r="F96" t="s">
        <v>311</v>
      </c>
      <c r="G96" t="s">
        <v>323</v>
      </c>
      <c r="H96" t="s">
        <v>514</v>
      </c>
      <c r="I96" t="s">
        <v>654</v>
      </c>
      <c r="J96">
        <v>-0.97440000000000004</v>
      </c>
      <c r="K96">
        <v>111.45276</v>
      </c>
    </row>
    <row r="97" spans="1:11" x14ac:dyDescent="0.25">
      <c r="A97" t="s">
        <v>655</v>
      </c>
      <c r="B97" t="s">
        <v>656</v>
      </c>
      <c r="C97" t="s">
        <v>657</v>
      </c>
      <c r="D97" t="s">
        <v>310</v>
      </c>
      <c r="E97">
        <v>6</v>
      </c>
      <c r="F97" t="s">
        <v>311</v>
      </c>
      <c r="G97" t="s">
        <v>509</v>
      </c>
      <c r="H97" t="s">
        <v>658</v>
      </c>
      <c r="I97" t="s">
        <v>657</v>
      </c>
      <c r="J97">
        <v>-1.26468</v>
      </c>
      <c r="K97">
        <v>110.86915999999999</v>
      </c>
    </row>
    <row r="98" spans="1:11" x14ac:dyDescent="0.25">
      <c r="A98" t="s">
        <v>659</v>
      </c>
      <c r="B98" t="s">
        <v>660</v>
      </c>
      <c r="C98" t="s">
        <v>661</v>
      </c>
      <c r="D98" t="s">
        <v>310</v>
      </c>
      <c r="E98">
        <v>6</v>
      </c>
      <c r="F98" t="s">
        <v>344</v>
      </c>
      <c r="G98" t="s">
        <v>366</v>
      </c>
      <c r="H98" t="s">
        <v>367</v>
      </c>
      <c r="I98" t="s">
        <v>661</v>
      </c>
      <c r="J98">
        <v>-0.91947000000000001</v>
      </c>
      <c r="K98">
        <v>112.42046000000001</v>
      </c>
    </row>
    <row r="99" spans="1:11" x14ac:dyDescent="0.25">
      <c r="A99" t="s">
        <v>662</v>
      </c>
      <c r="B99" t="s">
        <v>663</v>
      </c>
      <c r="C99" t="s">
        <v>664</v>
      </c>
      <c r="D99" t="s">
        <v>310</v>
      </c>
      <c r="E99">
        <v>6</v>
      </c>
      <c r="F99" t="s">
        <v>338</v>
      </c>
      <c r="G99" t="s">
        <v>339</v>
      </c>
      <c r="H99" t="s">
        <v>665</v>
      </c>
      <c r="I99" t="s">
        <v>664</v>
      </c>
      <c r="J99">
        <v>0.30599999999999999</v>
      </c>
      <c r="K99">
        <v>115.40208</v>
      </c>
    </row>
    <row r="100" spans="1:11" x14ac:dyDescent="0.25">
      <c r="A100" t="s">
        <v>666</v>
      </c>
      <c r="B100" t="s">
        <v>667</v>
      </c>
      <c r="C100" t="s">
        <v>668</v>
      </c>
      <c r="D100" t="s">
        <v>310</v>
      </c>
      <c r="E100">
        <v>6</v>
      </c>
      <c r="F100" t="s">
        <v>311</v>
      </c>
      <c r="G100" t="s">
        <v>312</v>
      </c>
      <c r="H100" t="s">
        <v>669</v>
      </c>
      <c r="I100" t="s">
        <v>668</v>
      </c>
      <c r="J100">
        <v>0.22585</v>
      </c>
      <c r="K100">
        <v>112.28703</v>
      </c>
    </row>
    <row r="101" spans="1:11" x14ac:dyDescent="0.25">
      <c r="A101" t="s">
        <v>670</v>
      </c>
      <c r="B101" t="s">
        <v>671</v>
      </c>
      <c r="C101" t="s">
        <v>672</v>
      </c>
      <c r="D101" t="s">
        <v>310</v>
      </c>
      <c r="E101">
        <v>6</v>
      </c>
      <c r="F101" t="s">
        <v>311</v>
      </c>
      <c r="G101" t="s">
        <v>312</v>
      </c>
      <c r="H101" t="s">
        <v>550</v>
      </c>
      <c r="I101" t="s">
        <v>672</v>
      </c>
      <c r="J101">
        <v>0.84741</v>
      </c>
      <c r="K101">
        <v>111.82019</v>
      </c>
    </row>
    <row r="102" spans="1:11" x14ac:dyDescent="0.25">
      <c r="A102" t="s">
        <v>673</v>
      </c>
      <c r="B102" t="s">
        <v>674</v>
      </c>
      <c r="C102" t="s">
        <v>675</v>
      </c>
      <c r="D102" t="s">
        <v>310</v>
      </c>
      <c r="E102">
        <v>6</v>
      </c>
      <c r="F102" t="s">
        <v>311</v>
      </c>
      <c r="G102" t="s">
        <v>509</v>
      </c>
      <c r="H102" t="s">
        <v>560</v>
      </c>
      <c r="I102" t="s">
        <v>675</v>
      </c>
      <c r="J102">
        <v>-0.52259999999999995</v>
      </c>
      <c r="K102">
        <v>110.43035999999999</v>
      </c>
    </row>
    <row r="103" spans="1:11" x14ac:dyDescent="0.25">
      <c r="A103" t="s">
        <v>676</v>
      </c>
      <c r="B103" t="s">
        <v>677</v>
      </c>
      <c r="C103" t="s">
        <v>678</v>
      </c>
      <c r="D103" t="s">
        <v>310</v>
      </c>
      <c r="E103">
        <v>6</v>
      </c>
      <c r="F103" t="s">
        <v>311</v>
      </c>
      <c r="G103" t="s">
        <v>328</v>
      </c>
      <c r="H103" t="s">
        <v>495</v>
      </c>
      <c r="I103" t="s">
        <v>678</v>
      </c>
      <c r="J103">
        <v>0.88980000000000004</v>
      </c>
      <c r="K103">
        <v>111.04985000000001</v>
      </c>
    </row>
    <row r="104" spans="1:11" x14ac:dyDescent="0.25">
      <c r="A104" t="s">
        <v>679</v>
      </c>
      <c r="B104" t="s">
        <v>680</v>
      </c>
      <c r="C104" t="s">
        <v>681</v>
      </c>
      <c r="D104" t="s">
        <v>310</v>
      </c>
      <c r="E104">
        <v>6</v>
      </c>
      <c r="F104" t="s">
        <v>311</v>
      </c>
      <c r="G104" t="s">
        <v>323</v>
      </c>
      <c r="H104" t="s">
        <v>682</v>
      </c>
      <c r="I104" t="s">
        <v>681</v>
      </c>
      <c r="J104">
        <v>-0.41810000000000003</v>
      </c>
      <c r="K104">
        <v>112.35399</v>
      </c>
    </row>
    <row r="105" spans="1:11" x14ac:dyDescent="0.25">
      <c r="A105" t="s">
        <v>683</v>
      </c>
      <c r="B105" t="s">
        <v>684</v>
      </c>
      <c r="C105" t="s">
        <v>685</v>
      </c>
      <c r="D105" t="s">
        <v>310</v>
      </c>
      <c r="E105">
        <v>6</v>
      </c>
      <c r="F105" t="s">
        <v>311</v>
      </c>
      <c r="G105" t="s">
        <v>436</v>
      </c>
      <c r="H105" t="s">
        <v>686</v>
      </c>
      <c r="I105" t="s">
        <v>685</v>
      </c>
      <c r="J105">
        <v>0.77188000000000001</v>
      </c>
      <c r="K105">
        <v>109.80861</v>
      </c>
    </row>
    <row r="106" spans="1:11" x14ac:dyDescent="0.25">
      <c r="A106" t="s">
        <v>687</v>
      </c>
      <c r="B106" t="s">
        <v>688</v>
      </c>
      <c r="C106" t="s">
        <v>689</v>
      </c>
      <c r="D106" t="s">
        <v>310</v>
      </c>
      <c r="E106">
        <v>6</v>
      </c>
      <c r="F106" t="s">
        <v>311</v>
      </c>
      <c r="G106" t="s">
        <v>509</v>
      </c>
      <c r="H106" t="s">
        <v>690</v>
      </c>
      <c r="I106" t="s">
        <v>689</v>
      </c>
      <c r="J106">
        <v>-2.2130299999999998</v>
      </c>
      <c r="K106">
        <v>110.38727</v>
      </c>
    </row>
    <row r="107" spans="1:11" x14ac:dyDescent="0.25">
      <c r="A107" t="s">
        <v>691</v>
      </c>
      <c r="B107" t="s">
        <v>692</v>
      </c>
      <c r="C107" t="s">
        <v>693</v>
      </c>
      <c r="D107" t="s">
        <v>310</v>
      </c>
      <c r="E107">
        <v>6</v>
      </c>
      <c r="F107" t="s">
        <v>311</v>
      </c>
      <c r="G107" t="s">
        <v>509</v>
      </c>
      <c r="H107" t="s">
        <v>560</v>
      </c>
      <c r="I107" t="s">
        <v>693</v>
      </c>
      <c r="J107">
        <v>-0.56222000000000005</v>
      </c>
      <c r="K107">
        <v>110.40926</v>
      </c>
    </row>
    <row r="108" spans="1:11" x14ac:dyDescent="0.25">
      <c r="A108" t="s">
        <v>694</v>
      </c>
      <c r="B108" t="s">
        <v>695</v>
      </c>
      <c r="C108" t="s">
        <v>696</v>
      </c>
      <c r="D108" t="s">
        <v>310</v>
      </c>
      <c r="E108">
        <v>6</v>
      </c>
      <c r="F108" t="s">
        <v>311</v>
      </c>
      <c r="G108" t="s">
        <v>323</v>
      </c>
      <c r="H108" t="s">
        <v>514</v>
      </c>
      <c r="I108" t="s">
        <v>696</v>
      </c>
      <c r="J108">
        <v>-1.0530900000000001</v>
      </c>
      <c r="K108">
        <v>111.48768</v>
      </c>
    </row>
    <row r="109" spans="1:11" x14ac:dyDescent="0.25">
      <c r="A109" t="s">
        <v>697</v>
      </c>
      <c r="B109" t="s">
        <v>698</v>
      </c>
      <c r="C109" t="s">
        <v>699</v>
      </c>
      <c r="D109" t="s">
        <v>310</v>
      </c>
      <c r="E109">
        <v>6</v>
      </c>
      <c r="F109" t="s">
        <v>311</v>
      </c>
      <c r="G109" t="s">
        <v>312</v>
      </c>
      <c r="H109" t="s">
        <v>700</v>
      </c>
      <c r="I109" t="s">
        <v>699</v>
      </c>
      <c r="J109">
        <v>1.01014</v>
      </c>
      <c r="K109">
        <v>111.66916000000001</v>
      </c>
    </row>
    <row r="110" spans="1:11" x14ac:dyDescent="0.25">
      <c r="A110" t="s">
        <v>701</v>
      </c>
      <c r="B110" t="s">
        <v>702</v>
      </c>
      <c r="C110" t="s">
        <v>703</v>
      </c>
      <c r="D110" t="s">
        <v>310</v>
      </c>
      <c r="E110">
        <v>6</v>
      </c>
      <c r="F110" t="s">
        <v>311</v>
      </c>
      <c r="G110" t="s">
        <v>509</v>
      </c>
      <c r="H110" t="s">
        <v>510</v>
      </c>
      <c r="I110" t="s">
        <v>703</v>
      </c>
      <c r="J110">
        <v>-0.95043999999999995</v>
      </c>
      <c r="K110">
        <v>110.29716000000001</v>
      </c>
    </row>
    <row r="111" spans="1:11" x14ac:dyDescent="0.25">
      <c r="A111" t="s">
        <v>704</v>
      </c>
      <c r="B111" t="s">
        <v>705</v>
      </c>
      <c r="C111" t="s">
        <v>706</v>
      </c>
      <c r="D111" t="s">
        <v>310</v>
      </c>
      <c r="E111">
        <v>6</v>
      </c>
      <c r="F111" t="s">
        <v>311</v>
      </c>
      <c r="G111" t="s">
        <v>328</v>
      </c>
      <c r="H111" t="s">
        <v>495</v>
      </c>
      <c r="I111" t="s">
        <v>706</v>
      </c>
      <c r="J111">
        <v>0.85843999999999998</v>
      </c>
      <c r="K111">
        <v>111.01107</v>
      </c>
    </row>
    <row r="112" spans="1:11" x14ac:dyDescent="0.25">
      <c r="A112" t="s">
        <v>707</v>
      </c>
      <c r="B112" t="s">
        <v>708</v>
      </c>
      <c r="C112" t="s">
        <v>709</v>
      </c>
      <c r="D112" t="s">
        <v>310</v>
      </c>
      <c r="E112">
        <v>6</v>
      </c>
      <c r="F112" t="s">
        <v>311</v>
      </c>
      <c r="G112" t="s">
        <v>328</v>
      </c>
      <c r="H112" t="s">
        <v>615</v>
      </c>
      <c r="I112" t="s">
        <v>709</v>
      </c>
      <c r="J112">
        <v>0.77773999999999999</v>
      </c>
      <c r="K112">
        <v>111.40752000000001</v>
      </c>
    </row>
    <row r="113" spans="1:11" x14ac:dyDescent="0.25">
      <c r="A113" t="s">
        <v>710</v>
      </c>
      <c r="B113" t="s">
        <v>711</v>
      </c>
      <c r="C113" t="s">
        <v>712</v>
      </c>
      <c r="D113" t="s">
        <v>310</v>
      </c>
      <c r="E113">
        <v>6</v>
      </c>
      <c r="F113" t="s">
        <v>311</v>
      </c>
      <c r="G113" t="s">
        <v>509</v>
      </c>
      <c r="H113" t="s">
        <v>651</v>
      </c>
      <c r="I113" t="s">
        <v>712</v>
      </c>
      <c r="J113">
        <v>-1.0608500000000001</v>
      </c>
      <c r="K113">
        <v>110.58325000000001</v>
      </c>
    </row>
    <row r="114" spans="1:11" x14ac:dyDescent="0.25">
      <c r="A114" t="s">
        <v>713</v>
      </c>
      <c r="B114" t="s">
        <v>714</v>
      </c>
      <c r="C114" t="s">
        <v>715</v>
      </c>
      <c r="D114" t="s">
        <v>310</v>
      </c>
      <c r="E114">
        <v>6</v>
      </c>
      <c r="F114" t="s">
        <v>311</v>
      </c>
      <c r="G114" t="s">
        <v>509</v>
      </c>
      <c r="H114" t="s">
        <v>690</v>
      </c>
      <c r="I114" t="s">
        <v>715</v>
      </c>
      <c r="J114">
        <v>-2.5533800000000002</v>
      </c>
      <c r="K114">
        <v>110.27685</v>
      </c>
    </row>
    <row r="115" spans="1:11" x14ac:dyDescent="0.25">
      <c r="A115" t="s">
        <v>716</v>
      </c>
      <c r="B115" t="s">
        <v>717</v>
      </c>
      <c r="C115" t="s">
        <v>718</v>
      </c>
      <c r="D115" t="s">
        <v>310</v>
      </c>
      <c r="E115">
        <v>6</v>
      </c>
      <c r="F115" t="s">
        <v>344</v>
      </c>
      <c r="G115" t="s">
        <v>370</v>
      </c>
      <c r="H115" t="s">
        <v>719</v>
      </c>
      <c r="I115" t="s">
        <v>718</v>
      </c>
      <c r="J115">
        <v>-2.56664</v>
      </c>
      <c r="K115">
        <v>112.18146</v>
      </c>
    </row>
    <row r="116" spans="1:11" x14ac:dyDescent="0.25">
      <c r="A116" t="s">
        <v>720</v>
      </c>
      <c r="B116" t="s">
        <v>721</v>
      </c>
      <c r="C116" t="s">
        <v>722</v>
      </c>
      <c r="D116" t="s">
        <v>310</v>
      </c>
      <c r="E116">
        <v>6</v>
      </c>
      <c r="F116" t="s">
        <v>311</v>
      </c>
      <c r="G116" t="s">
        <v>323</v>
      </c>
      <c r="H116" t="s">
        <v>723</v>
      </c>
      <c r="I116" t="s">
        <v>722</v>
      </c>
      <c r="J116">
        <v>-0.52217000000000002</v>
      </c>
      <c r="K116">
        <v>111.5348</v>
      </c>
    </row>
    <row r="117" spans="1:11" x14ac:dyDescent="0.25">
      <c r="A117" t="s">
        <v>724</v>
      </c>
      <c r="B117" t="s">
        <v>725</v>
      </c>
      <c r="C117" t="s">
        <v>726</v>
      </c>
      <c r="D117" t="s">
        <v>310</v>
      </c>
      <c r="E117">
        <v>6</v>
      </c>
      <c r="F117" t="s">
        <v>311</v>
      </c>
      <c r="G117" t="s">
        <v>328</v>
      </c>
      <c r="H117" t="s">
        <v>461</v>
      </c>
      <c r="I117" t="s">
        <v>726</v>
      </c>
      <c r="J117">
        <v>-0.25767000000000001</v>
      </c>
      <c r="K117">
        <v>112.65142</v>
      </c>
    </row>
    <row r="118" spans="1:11" x14ac:dyDescent="0.25">
      <c r="A118" t="s">
        <v>36</v>
      </c>
      <c r="B118" t="s">
        <v>727</v>
      </c>
      <c r="C118" t="s">
        <v>728</v>
      </c>
      <c r="D118" t="s">
        <v>310</v>
      </c>
      <c r="E118">
        <v>6</v>
      </c>
      <c r="F118" t="s">
        <v>311</v>
      </c>
      <c r="G118" t="s">
        <v>509</v>
      </c>
      <c r="H118" t="s">
        <v>729</v>
      </c>
      <c r="I118" t="s">
        <v>728</v>
      </c>
      <c r="J118">
        <v>-0.71096999999999999</v>
      </c>
      <c r="K118">
        <v>110.49149</v>
      </c>
    </row>
    <row r="119" spans="1:11" x14ac:dyDescent="0.25">
      <c r="A119" t="s">
        <v>730</v>
      </c>
      <c r="B119" t="s">
        <v>731</v>
      </c>
      <c r="C119" t="s">
        <v>732</v>
      </c>
      <c r="D119" t="s">
        <v>310</v>
      </c>
      <c r="E119">
        <v>6</v>
      </c>
      <c r="F119" t="s">
        <v>311</v>
      </c>
      <c r="G119" t="s">
        <v>509</v>
      </c>
      <c r="H119" t="s">
        <v>733</v>
      </c>
      <c r="I119" t="s">
        <v>732</v>
      </c>
      <c r="J119">
        <v>-1.36792</v>
      </c>
      <c r="K119">
        <v>110.73399000000001</v>
      </c>
    </row>
    <row r="120" spans="1:11" x14ac:dyDescent="0.25">
      <c r="A120" t="s">
        <v>734</v>
      </c>
      <c r="B120" t="s">
        <v>735</v>
      </c>
      <c r="C120" t="s">
        <v>736</v>
      </c>
      <c r="D120" t="s">
        <v>310</v>
      </c>
      <c r="E120">
        <v>6</v>
      </c>
      <c r="F120" t="s">
        <v>311</v>
      </c>
      <c r="G120" t="s">
        <v>328</v>
      </c>
      <c r="H120" t="s">
        <v>737</v>
      </c>
      <c r="I120" t="s">
        <v>736</v>
      </c>
      <c r="J120">
        <v>-0.41341</v>
      </c>
      <c r="K120">
        <v>111.21223000000001</v>
      </c>
    </row>
    <row r="121" spans="1:11" x14ac:dyDescent="0.25">
      <c r="A121" t="s">
        <v>738</v>
      </c>
      <c r="B121" t="s">
        <v>739</v>
      </c>
      <c r="C121" t="s">
        <v>740</v>
      </c>
      <c r="D121" t="s">
        <v>310</v>
      </c>
      <c r="E121">
        <v>6</v>
      </c>
      <c r="F121" t="s">
        <v>317</v>
      </c>
      <c r="G121" t="s">
        <v>333</v>
      </c>
      <c r="H121" t="s">
        <v>329</v>
      </c>
      <c r="I121" t="s">
        <v>740</v>
      </c>
      <c r="J121">
        <v>1.7752600000000001</v>
      </c>
      <c r="K121">
        <v>114.89879999999999</v>
      </c>
    </row>
    <row r="122" spans="1:11" x14ac:dyDescent="0.25">
      <c r="A122" t="s">
        <v>741</v>
      </c>
      <c r="B122" t="s">
        <v>742</v>
      </c>
      <c r="C122" t="s">
        <v>743</v>
      </c>
      <c r="D122" t="s">
        <v>310</v>
      </c>
      <c r="E122">
        <v>6</v>
      </c>
      <c r="F122" t="s">
        <v>311</v>
      </c>
      <c r="G122" t="s">
        <v>436</v>
      </c>
      <c r="H122" t="s">
        <v>686</v>
      </c>
      <c r="I122" t="s">
        <v>743</v>
      </c>
      <c r="J122">
        <v>0.68966000000000005</v>
      </c>
      <c r="K122">
        <v>109.68658000000001</v>
      </c>
    </row>
    <row r="123" spans="1:11" x14ac:dyDescent="0.25">
      <c r="A123" t="s">
        <v>744</v>
      </c>
      <c r="B123" t="s">
        <v>745</v>
      </c>
      <c r="C123" t="s">
        <v>746</v>
      </c>
      <c r="D123" t="s">
        <v>310</v>
      </c>
      <c r="E123">
        <v>6</v>
      </c>
      <c r="F123" t="s">
        <v>311</v>
      </c>
      <c r="G123" t="s">
        <v>400</v>
      </c>
      <c r="H123" t="s">
        <v>747</v>
      </c>
      <c r="I123" t="s">
        <v>746</v>
      </c>
      <c r="J123">
        <v>1.0733699999999999</v>
      </c>
      <c r="K123">
        <v>109.49733999999999</v>
      </c>
    </row>
    <row r="124" spans="1:11" x14ac:dyDescent="0.25">
      <c r="A124" t="s">
        <v>748</v>
      </c>
      <c r="B124" t="s">
        <v>749</v>
      </c>
      <c r="C124" t="s">
        <v>750</v>
      </c>
      <c r="D124" t="s">
        <v>310</v>
      </c>
      <c r="E124">
        <v>6</v>
      </c>
      <c r="F124" t="s">
        <v>311</v>
      </c>
      <c r="G124" t="s">
        <v>436</v>
      </c>
      <c r="H124" t="s">
        <v>751</v>
      </c>
      <c r="I124" t="s">
        <v>750</v>
      </c>
      <c r="J124">
        <v>0.24271000000000001</v>
      </c>
      <c r="K124">
        <v>109.68004999999999</v>
      </c>
    </row>
    <row r="125" spans="1:11" x14ac:dyDescent="0.25">
      <c r="A125" t="s">
        <v>752</v>
      </c>
      <c r="B125" t="s">
        <v>753</v>
      </c>
      <c r="C125" t="s">
        <v>754</v>
      </c>
      <c r="D125" t="s">
        <v>310</v>
      </c>
      <c r="E125">
        <v>6</v>
      </c>
      <c r="F125" t="s">
        <v>311</v>
      </c>
      <c r="G125" t="s">
        <v>323</v>
      </c>
      <c r="H125" t="s">
        <v>755</v>
      </c>
      <c r="I125" t="s">
        <v>754</v>
      </c>
      <c r="J125">
        <v>-0.58401999999999998</v>
      </c>
      <c r="K125">
        <v>111.69672</v>
      </c>
    </row>
    <row r="126" spans="1:11" x14ac:dyDescent="0.25">
      <c r="A126" t="s">
        <v>756</v>
      </c>
      <c r="B126" t="s">
        <v>757</v>
      </c>
      <c r="C126" t="s">
        <v>758</v>
      </c>
      <c r="D126" t="s">
        <v>310</v>
      </c>
      <c r="E126">
        <v>6</v>
      </c>
      <c r="F126" t="s">
        <v>338</v>
      </c>
      <c r="G126" t="s">
        <v>339</v>
      </c>
      <c r="H126" t="s">
        <v>502</v>
      </c>
      <c r="I126" t="s">
        <v>758</v>
      </c>
      <c r="J126">
        <v>0.76068999999999998</v>
      </c>
      <c r="K126">
        <v>114.45416</v>
      </c>
    </row>
    <row r="127" spans="1:11" x14ac:dyDescent="0.25">
      <c r="A127" t="s">
        <v>759</v>
      </c>
      <c r="B127" t="s">
        <v>760</v>
      </c>
      <c r="C127" t="s">
        <v>761</v>
      </c>
      <c r="D127" t="s">
        <v>310</v>
      </c>
      <c r="E127">
        <v>6</v>
      </c>
      <c r="F127" t="s">
        <v>311</v>
      </c>
      <c r="G127" t="s">
        <v>328</v>
      </c>
      <c r="H127" t="s">
        <v>350</v>
      </c>
      <c r="I127" t="s">
        <v>761</v>
      </c>
      <c r="J127">
        <v>-0.25781999999999999</v>
      </c>
      <c r="K127">
        <v>112.83517999999999</v>
      </c>
    </row>
    <row r="128" spans="1:11" x14ac:dyDescent="0.25">
      <c r="A128" t="s">
        <v>762</v>
      </c>
      <c r="B128" t="s">
        <v>763</v>
      </c>
      <c r="C128" t="s">
        <v>764</v>
      </c>
      <c r="D128" t="s">
        <v>310</v>
      </c>
      <c r="E128">
        <v>6</v>
      </c>
      <c r="F128" t="s">
        <v>311</v>
      </c>
      <c r="G128" t="s">
        <v>312</v>
      </c>
      <c r="H128" t="s">
        <v>547</v>
      </c>
      <c r="I128" t="s">
        <v>764</v>
      </c>
      <c r="J128">
        <v>0.47602</v>
      </c>
      <c r="K128">
        <v>112.96204</v>
      </c>
    </row>
    <row r="129" spans="1:11" x14ac:dyDescent="0.25">
      <c r="A129" t="s">
        <v>765</v>
      </c>
      <c r="B129" t="s">
        <v>766</v>
      </c>
      <c r="C129" t="s">
        <v>767</v>
      </c>
      <c r="D129" t="s">
        <v>310</v>
      </c>
      <c r="E129">
        <v>6</v>
      </c>
      <c r="F129" t="s">
        <v>311</v>
      </c>
      <c r="G129" t="s">
        <v>312</v>
      </c>
      <c r="H129" t="s">
        <v>768</v>
      </c>
      <c r="I129" t="s">
        <v>767</v>
      </c>
      <c r="J129">
        <v>0.49847000000000002</v>
      </c>
      <c r="K129">
        <v>113.00626</v>
      </c>
    </row>
    <row r="130" spans="1:11" x14ac:dyDescent="0.25">
      <c r="A130" t="s">
        <v>769</v>
      </c>
      <c r="B130" t="s">
        <v>770</v>
      </c>
      <c r="C130" t="s">
        <v>771</v>
      </c>
      <c r="D130" t="s">
        <v>310</v>
      </c>
      <c r="E130">
        <v>6</v>
      </c>
      <c r="F130" t="s">
        <v>311</v>
      </c>
      <c r="G130" t="s">
        <v>328</v>
      </c>
      <c r="H130" t="s">
        <v>329</v>
      </c>
      <c r="I130" t="s">
        <v>771</v>
      </c>
      <c r="J130">
        <v>2.7550000000000002E-2</v>
      </c>
      <c r="K130">
        <v>112.10843</v>
      </c>
    </row>
    <row r="131" spans="1:11" x14ac:dyDescent="0.25">
      <c r="A131" t="s">
        <v>772</v>
      </c>
      <c r="B131" t="s">
        <v>773</v>
      </c>
      <c r="C131" t="s">
        <v>774</v>
      </c>
      <c r="D131" t="s">
        <v>310</v>
      </c>
      <c r="E131">
        <v>6</v>
      </c>
      <c r="F131" t="s">
        <v>311</v>
      </c>
      <c r="G131" t="s">
        <v>436</v>
      </c>
      <c r="H131" t="s">
        <v>635</v>
      </c>
      <c r="I131" t="s">
        <v>774</v>
      </c>
      <c r="J131">
        <v>0.67403999999999997</v>
      </c>
      <c r="K131">
        <v>110.05441</v>
      </c>
    </row>
    <row r="132" spans="1:11" x14ac:dyDescent="0.25">
      <c r="A132" t="s">
        <v>775</v>
      </c>
      <c r="B132" t="s">
        <v>776</v>
      </c>
      <c r="C132" t="s">
        <v>777</v>
      </c>
      <c r="D132" t="s">
        <v>310</v>
      </c>
      <c r="E132">
        <v>6</v>
      </c>
      <c r="F132" t="s">
        <v>311</v>
      </c>
      <c r="G132" t="s">
        <v>323</v>
      </c>
      <c r="H132" t="s">
        <v>755</v>
      </c>
      <c r="I132" t="s">
        <v>777</v>
      </c>
      <c r="J132">
        <v>-0.62392000000000003</v>
      </c>
      <c r="K132">
        <v>111.66558999999999</v>
      </c>
    </row>
    <row r="133" spans="1:11" x14ac:dyDescent="0.25">
      <c r="A133" t="s">
        <v>778</v>
      </c>
      <c r="B133" t="s">
        <v>779</v>
      </c>
      <c r="C133" t="s">
        <v>780</v>
      </c>
      <c r="D133" t="s">
        <v>310</v>
      </c>
      <c r="E133">
        <v>6</v>
      </c>
      <c r="F133" t="s">
        <v>311</v>
      </c>
      <c r="G133" t="s">
        <v>328</v>
      </c>
      <c r="H133" t="s">
        <v>329</v>
      </c>
      <c r="I133" t="s">
        <v>780</v>
      </c>
      <c r="J133">
        <v>3.4610000000000002E-2</v>
      </c>
      <c r="K133">
        <v>112.18047</v>
      </c>
    </row>
    <row r="134" spans="1:11" x14ac:dyDescent="0.25">
      <c r="A134" t="s">
        <v>781</v>
      </c>
      <c r="B134" t="s">
        <v>782</v>
      </c>
      <c r="C134" t="s">
        <v>783</v>
      </c>
      <c r="D134" t="s">
        <v>310</v>
      </c>
      <c r="E134">
        <v>6</v>
      </c>
      <c r="F134" t="s">
        <v>311</v>
      </c>
      <c r="G134" t="s">
        <v>323</v>
      </c>
      <c r="H134" t="s">
        <v>574</v>
      </c>
      <c r="I134" t="s">
        <v>783</v>
      </c>
      <c r="J134">
        <v>-0.71811000000000003</v>
      </c>
      <c r="K134">
        <v>112.03898</v>
      </c>
    </row>
    <row r="135" spans="1:11" x14ac:dyDescent="0.25">
      <c r="A135" t="s">
        <v>784</v>
      </c>
      <c r="B135" t="s">
        <v>785</v>
      </c>
      <c r="C135" t="s">
        <v>786</v>
      </c>
      <c r="D135" t="s">
        <v>310</v>
      </c>
      <c r="E135">
        <v>6</v>
      </c>
      <c r="F135" t="s">
        <v>311</v>
      </c>
      <c r="G135" t="s">
        <v>323</v>
      </c>
      <c r="H135" t="s">
        <v>574</v>
      </c>
      <c r="I135" t="s">
        <v>786</v>
      </c>
      <c r="J135">
        <v>-0.62282000000000004</v>
      </c>
      <c r="K135">
        <v>112.13424999999999</v>
      </c>
    </row>
    <row r="136" spans="1:11" x14ac:dyDescent="0.25">
      <c r="A136" t="s">
        <v>787</v>
      </c>
      <c r="B136" t="s">
        <v>788</v>
      </c>
      <c r="C136" t="s">
        <v>789</v>
      </c>
      <c r="D136" t="s">
        <v>310</v>
      </c>
      <c r="E136">
        <v>6</v>
      </c>
      <c r="F136" t="s">
        <v>317</v>
      </c>
      <c r="G136" t="s">
        <v>318</v>
      </c>
      <c r="H136" t="s">
        <v>790</v>
      </c>
      <c r="I136" t="s">
        <v>789</v>
      </c>
      <c r="J136">
        <v>4.0938400000000001</v>
      </c>
      <c r="K136">
        <v>117.80797</v>
      </c>
    </row>
    <row r="137" spans="1:11" x14ac:dyDescent="0.25">
      <c r="A137" t="s">
        <v>791</v>
      </c>
      <c r="B137" t="s">
        <v>792</v>
      </c>
      <c r="C137" t="s">
        <v>793</v>
      </c>
      <c r="D137" t="s">
        <v>310</v>
      </c>
      <c r="E137">
        <v>6</v>
      </c>
      <c r="F137" t="s">
        <v>311</v>
      </c>
      <c r="G137" t="s">
        <v>312</v>
      </c>
      <c r="H137" t="s">
        <v>669</v>
      </c>
      <c r="I137" t="s">
        <v>793</v>
      </c>
      <c r="J137">
        <v>0.19452</v>
      </c>
      <c r="K137">
        <v>112.1613</v>
      </c>
    </row>
    <row r="138" spans="1:11" x14ac:dyDescent="0.25">
      <c r="A138" t="s">
        <v>794</v>
      </c>
      <c r="B138" t="s">
        <v>795</v>
      </c>
      <c r="C138" t="s">
        <v>796</v>
      </c>
      <c r="D138" t="s">
        <v>310</v>
      </c>
      <c r="E138">
        <v>6</v>
      </c>
      <c r="F138" t="s">
        <v>338</v>
      </c>
      <c r="G138" t="s">
        <v>339</v>
      </c>
      <c r="H138" t="s">
        <v>502</v>
      </c>
      <c r="I138" t="s">
        <v>796</v>
      </c>
      <c r="J138">
        <v>0.76766000000000001</v>
      </c>
      <c r="K138">
        <v>114.46234</v>
      </c>
    </row>
    <row r="139" spans="1:11" x14ac:dyDescent="0.25">
      <c r="A139" t="s">
        <v>797</v>
      </c>
      <c r="B139" t="s">
        <v>798</v>
      </c>
      <c r="C139" t="s">
        <v>799</v>
      </c>
      <c r="D139" t="s">
        <v>310</v>
      </c>
      <c r="E139">
        <v>6</v>
      </c>
      <c r="F139" t="s">
        <v>311</v>
      </c>
      <c r="G139" t="s">
        <v>323</v>
      </c>
      <c r="H139" t="s">
        <v>505</v>
      </c>
      <c r="I139" t="s">
        <v>799</v>
      </c>
      <c r="J139">
        <v>-0.51490000000000002</v>
      </c>
      <c r="K139">
        <v>111.86881</v>
      </c>
    </row>
    <row r="140" spans="1:11" x14ac:dyDescent="0.25">
      <c r="A140" t="s">
        <v>800</v>
      </c>
      <c r="B140" t="s">
        <v>801</v>
      </c>
      <c r="C140" t="s">
        <v>802</v>
      </c>
      <c r="D140" t="s">
        <v>310</v>
      </c>
      <c r="E140">
        <v>6</v>
      </c>
      <c r="F140" t="s">
        <v>311</v>
      </c>
      <c r="G140" t="s">
        <v>312</v>
      </c>
      <c r="H140" t="s">
        <v>550</v>
      </c>
      <c r="I140" t="s">
        <v>802</v>
      </c>
      <c r="J140">
        <v>0.89283999999999997</v>
      </c>
      <c r="K140">
        <v>111.75603</v>
      </c>
    </row>
    <row r="141" spans="1:11" x14ac:dyDescent="0.25">
      <c r="A141" t="s">
        <v>803</v>
      </c>
      <c r="B141" t="s">
        <v>804</v>
      </c>
      <c r="C141" t="s">
        <v>805</v>
      </c>
      <c r="D141" t="s">
        <v>310</v>
      </c>
      <c r="E141">
        <v>6</v>
      </c>
      <c r="F141" t="s">
        <v>311</v>
      </c>
      <c r="G141" t="s">
        <v>312</v>
      </c>
      <c r="H141" t="s">
        <v>700</v>
      </c>
      <c r="I141" t="s">
        <v>805</v>
      </c>
      <c r="J141">
        <v>0.98304999999999998</v>
      </c>
      <c r="K141">
        <v>111.72548999999999</v>
      </c>
    </row>
    <row r="142" spans="1:11" x14ac:dyDescent="0.25">
      <c r="A142" t="s">
        <v>806</v>
      </c>
      <c r="B142" t="s">
        <v>807</v>
      </c>
      <c r="C142" t="s">
        <v>808</v>
      </c>
      <c r="D142" t="s">
        <v>310</v>
      </c>
      <c r="E142">
        <v>6</v>
      </c>
      <c r="F142" t="s">
        <v>311</v>
      </c>
      <c r="G142" t="s">
        <v>436</v>
      </c>
      <c r="H142" t="s">
        <v>608</v>
      </c>
      <c r="I142" t="s">
        <v>808</v>
      </c>
      <c r="J142">
        <v>0.53981000000000001</v>
      </c>
      <c r="K142">
        <v>109.47042999999999</v>
      </c>
    </row>
    <row r="143" spans="1:11" x14ac:dyDescent="0.25">
      <c r="A143" t="s">
        <v>809</v>
      </c>
      <c r="B143" t="s">
        <v>810</v>
      </c>
      <c r="C143" t="s">
        <v>811</v>
      </c>
      <c r="D143" t="s">
        <v>310</v>
      </c>
      <c r="E143">
        <v>6</v>
      </c>
      <c r="F143" t="s">
        <v>311</v>
      </c>
      <c r="G143" t="s">
        <v>509</v>
      </c>
      <c r="H143" t="s">
        <v>510</v>
      </c>
      <c r="I143" t="s">
        <v>811</v>
      </c>
      <c r="J143">
        <v>-0.84241999999999995</v>
      </c>
      <c r="K143">
        <v>110.39977</v>
      </c>
    </row>
    <row r="144" spans="1:11" x14ac:dyDescent="0.25">
      <c r="A144" t="s">
        <v>812</v>
      </c>
      <c r="B144" t="s">
        <v>813</v>
      </c>
      <c r="C144" t="s">
        <v>814</v>
      </c>
      <c r="D144" t="s">
        <v>310</v>
      </c>
      <c r="E144">
        <v>6</v>
      </c>
      <c r="F144" t="s">
        <v>338</v>
      </c>
      <c r="G144" t="s">
        <v>339</v>
      </c>
      <c r="H144" t="s">
        <v>522</v>
      </c>
      <c r="I144" t="s">
        <v>814</v>
      </c>
      <c r="J144">
        <v>0.84308000000000005</v>
      </c>
      <c r="K144">
        <v>114.06565999999999</v>
      </c>
    </row>
    <row r="145" spans="1:11" x14ac:dyDescent="0.25">
      <c r="A145" t="s">
        <v>815</v>
      </c>
      <c r="B145" t="s">
        <v>816</v>
      </c>
      <c r="C145" t="s">
        <v>817</v>
      </c>
      <c r="D145" t="s">
        <v>310</v>
      </c>
      <c r="E145">
        <v>6</v>
      </c>
      <c r="F145" t="s">
        <v>317</v>
      </c>
      <c r="G145" t="s">
        <v>318</v>
      </c>
      <c r="H145" t="s">
        <v>818</v>
      </c>
      <c r="I145" t="s">
        <v>817</v>
      </c>
      <c r="J145">
        <v>4.0730000000000004</v>
      </c>
      <c r="K145">
        <v>117.86698</v>
      </c>
    </row>
    <row r="146" spans="1:11" x14ac:dyDescent="0.25">
      <c r="A146" t="s">
        <v>819</v>
      </c>
      <c r="B146" t="s">
        <v>820</v>
      </c>
      <c r="C146" t="s">
        <v>821</v>
      </c>
      <c r="D146" t="s">
        <v>310</v>
      </c>
      <c r="E146">
        <v>6</v>
      </c>
      <c r="F146" t="s">
        <v>311</v>
      </c>
      <c r="G146" t="s">
        <v>400</v>
      </c>
      <c r="H146" t="s">
        <v>401</v>
      </c>
      <c r="I146" t="s">
        <v>821</v>
      </c>
      <c r="J146">
        <v>1.43743</v>
      </c>
      <c r="K146">
        <v>109.46651</v>
      </c>
    </row>
    <row r="147" spans="1:11" x14ac:dyDescent="0.25">
      <c r="A147" t="s">
        <v>822</v>
      </c>
      <c r="B147" t="s">
        <v>823</v>
      </c>
      <c r="C147" t="s">
        <v>824</v>
      </c>
      <c r="D147" t="s">
        <v>310</v>
      </c>
      <c r="E147">
        <v>6</v>
      </c>
      <c r="F147" t="s">
        <v>311</v>
      </c>
      <c r="G147" t="s">
        <v>509</v>
      </c>
      <c r="H147" t="s">
        <v>560</v>
      </c>
      <c r="I147" t="s">
        <v>824</v>
      </c>
      <c r="J147">
        <v>-0.61092000000000002</v>
      </c>
      <c r="K147">
        <v>110.22678000000001</v>
      </c>
    </row>
    <row r="148" spans="1:11" x14ac:dyDescent="0.25">
      <c r="A148" t="s">
        <v>825</v>
      </c>
      <c r="B148" t="s">
        <v>826</v>
      </c>
      <c r="C148" t="s">
        <v>827</v>
      </c>
      <c r="D148" t="s">
        <v>310</v>
      </c>
      <c r="E148">
        <v>6</v>
      </c>
      <c r="F148" t="s">
        <v>317</v>
      </c>
      <c r="G148" t="s">
        <v>333</v>
      </c>
      <c r="H148" t="s">
        <v>329</v>
      </c>
      <c r="I148" t="s">
        <v>827</v>
      </c>
      <c r="J148">
        <v>1.78572</v>
      </c>
      <c r="K148">
        <v>114.8993</v>
      </c>
    </row>
    <row r="149" spans="1:11" x14ac:dyDescent="0.25">
      <c r="A149" t="s">
        <v>828</v>
      </c>
      <c r="B149" t="s">
        <v>829</v>
      </c>
      <c r="C149" t="s">
        <v>830</v>
      </c>
      <c r="D149" t="s">
        <v>310</v>
      </c>
      <c r="E149">
        <v>6</v>
      </c>
      <c r="F149" t="s">
        <v>338</v>
      </c>
      <c r="G149" t="s">
        <v>359</v>
      </c>
      <c r="H149" t="s">
        <v>360</v>
      </c>
      <c r="I149" t="s">
        <v>830</v>
      </c>
      <c r="J149">
        <v>-0.91768000000000005</v>
      </c>
      <c r="K149">
        <v>116.15481</v>
      </c>
    </row>
    <row r="150" spans="1:11" x14ac:dyDescent="0.25">
      <c r="A150" t="s">
        <v>831</v>
      </c>
      <c r="B150" t="s">
        <v>832</v>
      </c>
      <c r="C150" t="s">
        <v>833</v>
      </c>
      <c r="D150" t="s">
        <v>310</v>
      </c>
      <c r="E150">
        <v>6</v>
      </c>
      <c r="F150" t="s">
        <v>338</v>
      </c>
      <c r="G150" t="s">
        <v>339</v>
      </c>
      <c r="H150" t="s">
        <v>502</v>
      </c>
      <c r="I150" t="s">
        <v>833</v>
      </c>
      <c r="J150">
        <v>0.90344999999999998</v>
      </c>
      <c r="K150">
        <v>114.97971</v>
      </c>
    </row>
    <row r="151" spans="1:11" x14ac:dyDescent="0.25">
      <c r="A151" t="s">
        <v>834</v>
      </c>
      <c r="B151" t="s">
        <v>835</v>
      </c>
      <c r="C151" t="s">
        <v>836</v>
      </c>
      <c r="D151" t="s">
        <v>310</v>
      </c>
      <c r="E151">
        <v>6</v>
      </c>
      <c r="F151" t="s">
        <v>317</v>
      </c>
      <c r="G151" t="s">
        <v>318</v>
      </c>
      <c r="H151" t="s">
        <v>554</v>
      </c>
      <c r="I151" t="s">
        <v>836</v>
      </c>
      <c r="J151">
        <v>3.9990999999999999</v>
      </c>
      <c r="K151">
        <v>116.53446</v>
      </c>
    </row>
    <row r="152" spans="1:11" x14ac:dyDescent="0.25">
      <c r="A152" t="s">
        <v>837</v>
      </c>
      <c r="B152" t="s">
        <v>838</v>
      </c>
      <c r="C152" t="s">
        <v>839</v>
      </c>
      <c r="D152" t="s">
        <v>310</v>
      </c>
      <c r="E152">
        <v>6</v>
      </c>
      <c r="F152" t="s">
        <v>338</v>
      </c>
      <c r="G152" t="s">
        <v>339</v>
      </c>
      <c r="H152" t="s">
        <v>522</v>
      </c>
      <c r="I152" t="s">
        <v>839</v>
      </c>
      <c r="J152">
        <v>0.74214000000000002</v>
      </c>
      <c r="K152">
        <v>114.25931</v>
      </c>
    </row>
    <row r="153" spans="1:11" x14ac:dyDescent="0.25">
      <c r="A153" t="s">
        <v>840</v>
      </c>
      <c r="B153" t="s">
        <v>841</v>
      </c>
      <c r="C153" t="s">
        <v>842</v>
      </c>
      <c r="D153" t="s">
        <v>310</v>
      </c>
      <c r="E153">
        <v>6</v>
      </c>
      <c r="F153" t="s">
        <v>311</v>
      </c>
      <c r="G153" t="s">
        <v>436</v>
      </c>
      <c r="H153" t="s">
        <v>843</v>
      </c>
      <c r="I153" t="s">
        <v>842</v>
      </c>
      <c r="J153">
        <v>0.69730999999999999</v>
      </c>
      <c r="K153">
        <v>109.37045000000001</v>
      </c>
    </row>
    <row r="154" spans="1:11" x14ac:dyDescent="0.25">
      <c r="A154" t="s">
        <v>844</v>
      </c>
      <c r="B154" t="s">
        <v>845</v>
      </c>
      <c r="C154" t="s">
        <v>846</v>
      </c>
      <c r="D154" t="s">
        <v>310</v>
      </c>
      <c r="E154">
        <v>6</v>
      </c>
      <c r="F154" t="s">
        <v>311</v>
      </c>
      <c r="G154" t="s">
        <v>312</v>
      </c>
      <c r="H154" t="s">
        <v>536</v>
      </c>
      <c r="I154" t="s">
        <v>846</v>
      </c>
      <c r="J154">
        <v>0.39217000000000002</v>
      </c>
      <c r="K154">
        <v>112.33604</v>
      </c>
    </row>
    <row r="155" spans="1:11" x14ac:dyDescent="0.25">
      <c r="A155" t="s">
        <v>847</v>
      </c>
      <c r="B155" t="s">
        <v>848</v>
      </c>
      <c r="C155" t="s">
        <v>849</v>
      </c>
      <c r="D155" t="s">
        <v>310</v>
      </c>
      <c r="E155">
        <v>6</v>
      </c>
      <c r="F155" t="s">
        <v>311</v>
      </c>
      <c r="G155" t="s">
        <v>323</v>
      </c>
      <c r="H155" t="s">
        <v>514</v>
      </c>
      <c r="I155" t="s">
        <v>849</v>
      </c>
      <c r="J155">
        <v>-0.93152000000000001</v>
      </c>
      <c r="K155">
        <v>111.45786</v>
      </c>
    </row>
    <row r="156" spans="1:11" x14ac:dyDescent="0.25">
      <c r="A156" t="s">
        <v>103</v>
      </c>
      <c r="B156" t="s">
        <v>850</v>
      </c>
      <c r="C156" t="s">
        <v>851</v>
      </c>
      <c r="D156" t="s">
        <v>310</v>
      </c>
      <c r="E156">
        <v>6</v>
      </c>
      <c r="F156" t="s">
        <v>344</v>
      </c>
      <c r="G156" t="s">
        <v>415</v>
      </c>
      <c r="H156" t="s">
        <v>416</v>
      </c>
      <c r="I156" t="s">
        <v>851</v>
      </c>
      <c r="J156">
        <v>-1.6954199999999999</v>
      </c>
      <c r="K156">
        <v>111.10114</v>
      </c>
    </row>
    <row r="157" spans="1:11" x14ac:dyDescent="0.25">
      <c r="A157" t="s">
        <v>852</v>
      </c>
      <c r="B157" t="s">
        <v>853</v>
      </c>
      <c r="C157" t="s">
        <v>854</v>
      </c>
      <c r="D157" t="s">
        <v>310</v>
      </c>
      <c r="E157">
        <v>6</v>
      </c>
      <c r="F157" t="s">
        <v>311</v>
      </c>
      <c r="G157" t="s">
        <v>436</v>
      </c>
      <c r="H157" t="s">
        <v>686</v>
      </c>
      <c r="I157" t="s">
        <v>854</v>
      </c>
      <c r="J157">
        <v>0.78683000000000003</v>
      </c>
      <c r="K157">
        <v>109.69839</v>
      </c>
    </row>
    <row r="158" spans="1:11" x14ac:dyDescent="0.25">
      <c r="A158" t="s">
        <v>855</v>
      </c>
      <c r="B158" t="s">
        <v>856</v>
      </c>
      <c r="C158" t="s">
        <v>857</v>
      </c>
      <c r="D158" t="s">
        <v>310</v>
      </c>
      <c r="E158">
        <v>6</v>
      </c>
      <c r="F158" t="s">
        <v>311</v>
      </c>
      <c r="G158" t="s">
        <v>312</v>
      </c>
      <c r="H158" t="s">
        <v>313</v>
      </c>
      <c r="I158" t="s">
        <v>857</v>
      </c>
      <c r="J158">
        <v>0.92066000000000003</v>
      </c>
      <c r="K158">
        <v>111.86309</v>
      </c>
    </row>
    <row r="159" spans="1:11" x14ac:dyDescent="0.25">
      <c r="A159" t="s">
        <v>858</v>
      </c>
      <c r="B159" t="s">
        <v>859</v>
      </c>
      <c r="C159" t="s">
        <v>860</v>
      </c>
      <c r="D159" t="s">
        <v>310</v>
      </c>
      <c r="E159">
        <v>6</v>
      </c>
      <c r="F159" t="s">
        <v>344</v>
      </c>
      <c r="G159" t="s">
        <v>370</v>
      </c>
      <c r="H159" t="s">
        <v>647</v>
      </c>
      <c r="I159" t="s">
        <v>860</v>
      </c>
      <c r="J159">
        <v>-0.90825</v>
      </c>
      <c r="K159">
        <v>112.06332</v>
      </c>
    </row>
    <row r="160" spans="1:11" x14ac:dyDescent="0.25">
      <c r="A160" t="s">
        <v>861</v>
      </c>
      <c r="B160" t="s">
        <v>862</v>
      </c>
      <c r="C160" t="s">
        <v>863</v>
      </c>
      <c r="D160" t="s">
        <v>310</v>
      </c>
      <c r="E160">
        <v>6</v>
      </c>
      <c r="F160" t="s">
        <v>311</v>
      </c>
      <c r="G160" t="s">
        <v>328</v>
      </c>
      <c r="H160" t="s">
        <v>461</v>
      </c>
      <c r="I160" t="s">
        <v>863</v>
      </c>
      <c r="J160">
        <v>-0.39515</v>
      </c>
      <c r="K160">
        <v>112.60415</v>
      </c>
    </row>
    <row r="161" spans="1:11" x14ac:dyDescent="0.25">
      <c r="A161" t="s">
        <v>864</v>
      </c>
      <c r="B161" t="s">
        <v>865</v>
      </c>
      <c r="C161" t="s">
        <v>866</v>
      </c>
      <c r="D161" t="s">
        <v>310</v>
      </c>
      <c r="E161">
        <v>6</v>
      </c>
      <c r="F161" t="s">
        <v>338</v>
      </c>
      <c r="G161" t="s">
        <v>339</v>
      </c>
      <c r="H161" t="s">
        <v>665</v>
      </c>
      <c r="I161" t="s">
        <v>866</v>
      </c>
      <c r="J161">
        <v>0.28888200000000003</v>
      </c>
      <c r="K161">
        <v>115.360805</v>
      </c>
    </row>
    <row r="162" spans="1:11" x14ac:dyDescent="0.25">
      <c r="A162" t="s">
        <v>867</v>
      </c>
      <c r="B162" t="s">
        <v>868</v>
      </c>
      <c r="C162" t="s">
        <v>869</v>
      </c>
      <c r="D162" t="s">
        <v>310</v>
      </c>
      <c r="E162">
        <v>6</v>
      </c>
      <c r="F162" t="s">
        <v>317</v>
      </c>
      <c r="G162" t="s">
        <v>318</v>
      </c>
      <c r="H162" t="s">
        <v>554</v>
      </c>
      <c r="I162" t="s">
        <v>869</v>
      </c>
      <c r="J162">
        <v>3.9251100000000001</v>
      </c>
      <c r="K162">
        <v>116.55695</v>
      </c>
    </row>
    <row r="163" spans="1:11" x14ac:dyDescent="0.25">
      <c r="A163" t="s">
        <v>870</v>
      </c>
      <c r="B163" t="s">
        <v>871</v>
      </c>
      <c r="C163" t="s">
        <v>872</v>
      </c>
      <c r="D163" t="s">
        <v>310</v>
      </c>
      <c r="E163">
        <v>6</v>
      </c>
      <c r="F163" t="s">
        <v>311</v>
      </c>
      <c r="G163" t="s">
        <v>328</v>
      </c>
      <c r="H163" t="s">
        <v>461</v>
      </c>
      <c r="I163" t="s">
        <v>872</v>
      </c>
      <c r="J163">
        <v>-0.33068999999999998</v>
      </c>
      <c r="K163">
        <v>112.68732</v>
      </c>
    </row>
    <row r="164" spans="1:11" x14ac:dyDescent="0.25">
      <c r="A164" t="s">
        <v>873</v>
      </c>
      <c r="B164" t="s">
        <v>874</v>
      </c>
      <c r="C164" t="s">
        <v>875</v>
      </c>
      <c r="D164" t="s">
        <v>310</v>
      </c>
      <c r="E164">
        <v>6</v>
      </c>
      <c r="F164" t="s">
        <v>344</v>
      </c>
      <c r="G164" t="s">
        <v>366</v>
      </c>
      <c r="H164" t="s">
        <v>367</v>
      </c>
      <c r="I164" t="s">
        <v>875</v>
      </c>
      <c r="J164">
        <v>-0.95311000000000001</v>
      </c>
      <c r="K164">
        <v>112.44983000000001</v>
      </c>
    </row>
    <row r="165" spans="1:11" x14ac:dyDescent="0.25">
      <c r="A165" t="s">
        <v>876</v>
      </c>
      <c r="B165" t="s">
        <v>877</v>
      </c>
      <c r="C165" t="s">
        <v>878</v>
      </c>
      <c r="D165" t="s">
        <v>310</v>
      </c>
      <c r="E165">
        <v>6</v>
      </c>
      <c r="F165" t="s">
        <v>338</v>
      </c>
      <c r="G165" t="s">
        <v>339</v>
      </c>
      <c r="H165" t="s">
        <v>432</v>
      </c>
      <c r="I165" t="s">
        <v>878</v>
      </c>
      <c r="J165">
        <v>0.46200000000000002</v>
      </c>
      <c r="K165">
        <v>115.19904</v>
      </c>
    </row>
    <row r="166" spans="1:11" x14ac:dyDescent="0.25">
      <c r="A166" t="s">
        <v>879</v>
      </c>
      <c r="B166" t="s">
        <v>880</v>
      </c>
      <c r="C166" t="s">
        <v>881</v>
      </c>
      <c r="D166" t="s">
        <v>310</v>
      </c>
      <c r="E166">
        <v>6</v>
      </c>
      <c r="F166" t="s">
        <v>311</v>
      </c>
      <c r="G166" t="s">
        <v>323</v>
      </c>
      <c r="H166" t="s">
        <v>755</v>
      </c>
      <c r="I166" t="s">
        <v>881</v>
      </c>
      <c r="J166">
        <v>-0.76746000000000003</v>
      </c>
      <c r="K166">
        <v>111.79482</v>
      </c>
    </row>
    <row r="167" spans="1:11" x14ac:dyDescent="0.25">
      <c r="A167" t="s">
        <v>882</v>
      </c>
      <c r="B167" t="s">
        <v>883</v>
      </c>
      <c r="C167" t="s">
        <v>884</v>
      </c>
      <c r="D167" t="s">
        <v>310</v>
      </c>
      <c r="E167">
        <v>6</v>
      </c>
      <c r="F167" t="s">
        <v>344</v>
      </c>
      <c r="G167" t="s">
        <v>366</v>
      </c>
      <c r="H167" t="s">
        <v>367</v>
      </c>
      <c r="I167" t="s">
        <v>884</v>
      </c>
      <c r="J167">
        <v>-1.0024500000000001</v>
      </c>
      <c r="K167">
        <v>112.43702999999999</v>
      </c>
    </row>
    <row r="168" spans="1:11" x14ac:dyDescent="0.25">
      <c r="A168" t="s">
        <v>885</v>
      </c>
      <c r="B168" t="s">
        <v>886</v>
      </c>
      <c r="C168" t="s">
        <v>887</v>
      </c>
      <c r="D168" t="s">
        <v>310</v>
      </c>
      <c r="E168">
        <v>6</v>
      </c>
      <c r="F168" t="s">
        <v>338</v>
      </c>
      <c r="G168" t="s">
        <v>359</v>
      </c>
      <c r="H168" t="s">
        <v>360</v>
      </c>
      <c r="I168" t="s">
        <v>887</v>
      </c>
      <c r="J168">
        <v>-0.82057000000000002</v>
      </c>
      <c r="K168">
        <v>116.25633000000001</v>
      </c>
    </row>
    <row r="169" spans="1:11" x14ac:dyDescent="0.25">
      <c r="A169" t="s">
        <v>888</v>
      </c>
      <c r="B169" t="s">
        <v>889</v>
      </c>
      <c r="C169" t="s">
        <v>890</v>
      </c>
      <c r="D169" t="s">
        <v>310</v>
      </c>
      <c r="E169">
        <v>6</v>
      </c>
      <c r="F169" t="s">
        <v>344</v>
      </c>
      <c r="G169" t="s">
        <v>370</v>
      </c>
      <c r="H169" t="s">
        <v>647</v>
      </c>
      <c r="I169" t="s">
        <v>890</v>
      </c>
      <c r="J169">
        <v>-1.1174999999999999</v>
      </c>
      <c r="K169">
        <v>111.78511</v>
      </c>
    </row>
    <row r="170" spans="1:11" x14ac:dyDescent="0.25">
      <c r="A170" t="s">
        <v>891</v>
      </c>
      <c r="B170" t="s">
        <v>892</v>
      </c>
      <c r="C170" t="s">
        <v>893</v>
      </c>
      <c r="D170" t="s">
        <v>310</v>
      </c>
      <c r="E170">
        <v>6</v>
      </c>
      <c r="F170" t="s">
        <v>311</v>
      </c>
      <c r="G170" t="s">
        <v>312</v>
      </c>
      <c r="H170" t="s">
        <v>894</v>
      </c>
      <c r="I170" t="s">
        <v>893</v>
      </c>
      <c r="J170">
        <v>0.74492000000000003</v>
      </c>
      <c r="K170">
        <v>111.96001</v>
      </c>
    </row>
    <row r="171" spans="1:11" x14ac:dyDescent="0.25">
      <c r="A171" t="s">
        <v>895</v>
      </c>
      <c r="B171" t="s">
        <v>896</v>
      </c>
      <c r="C171" t="s">
        <v>897</v>
      </c>
      <c r="D171" t="s">
        <v>310</v>
      </c>
      <c r="E171">
        <v>6</v>
      </c>
      <c r="F171" t="s">
        <v>344</v>
      </c>
      <c r="G171" t="s">
        <v>366</v>
      </c>
      <c r="H171" t="s">
        <v>643</v>
      </c>
      <c r="I171" t="s">
        <v>897</v>
      </c>
      <c r="J171">
        <v>-1.15103</v>
      </c>
      <c r="K171">
        <v>113.18828999999999</v>
      </c>
    </row>
    <row r="172" spans="1:11" x14ac:dyDescent="0.25">
      <c r="A172" t="s">
        <v>898</v>
      </c>
      <c r="B172" t="s">
        <v>899</v>
      </c>
      <c r="C172" t="s">
        <v>900</v>
      </c>
      <c r="D172" t="s">
        <v>310</v>
      </c>
      <c r="E172">
        <v>6</v>
      </c>
      <c r="F172" t="s">
        <v>311</v>
      </c>
      <c r="G172" t="s">
        <v>901</v>
      </c>
      <c r="H172" t="s">
        <v>902</v>
      </c>
      <c r="I172" t="s">
        <v>900</v>
      </c>
      <c r="J172">
        <v>0.84663999999999995</v>
      </c>
      <c r="K172">
        <v>110.67917</v>
      </c>
    </row>
    <row r="173" spans="1:11" x14ac:dyDescent="0.25">
      <c r="A173" t="s">
        <v>903</v>
      </c>
      <c r="B173" t="s">
        <v>904</v>
      </c>
      <c r="C173" t="s">
        <v>905</v>
      </c>
      <c r="D173" t="s">
        <v>310</v>
      </c>
      <c r="E173">
        <v>6</v>
      </c>
      <c r="F173" t="s">
        <v>311</v>
      </c>
      <c r="G173" t="s">
        <v>328</v>
      </c>
      <c r="H173" t="s">
        <v>328</v>
      </c>
      <c r="I173" t="s">
        <v>905</v>
      </c>
      <c r="J173">
        <v>-5.2700000000000004E-3</v>
      </c>
      <c r="K173">
        <v>111.58475</v>
      </c>
    </row>
    <row r="174" spans="1:11" x14ac:dyDescent="0.25">
      <c r="A174" t="s">
        <v>906</v>
      </c>
      <c r="B174" t="s">
        <v>907</v>
      </c>
      <c r="C174" t="s">
        <v>908</v>
      </c>
      <c r="D174" t="s">
        <v>310</v>
      </c>
      <c r="E174">
        <v>6</v>
      </c>
      <c r="F174" t="s">
        <v>317</v>
      </c>
      <c r="G174" t="s">
        <v>318</v>
      </c>
      <c r="H174" t="s">
        <v>909</v>
      </c>
      <c r="I174" t="s">
        <v>908</v>
      </c>
      <c r="J174">
        <v>4.2567500000000003</v>
      </c>
      <c r="K174">
        <v>116.44871000000001</v>
      </c>
    </row>
    <row r="175" spans="1:11" x14ac:dyDescent="0.25">
      <c r="A175" t="s">
        <v>910</v>
      </c>
      <c r="B175" t="s">
        <v>911</v>
      </c>
      <c r="C175" t="s">
        <v>912</v>
      </c>
      <c r="D175" t="s">
        <v>310</v>
      </c>
      <c r="E175">
        <v>6</v>
      </c>
      <c r="F175" t="s">
        <v>311</v>
      </c>
      <c r="G175" t="s">
        <v>509</v>
      </c>
      <c r="H175" t="s">
        <v>658</v>
      </c>
      <c r="I175" t="s">
        <v>912</v>
      </c>
      <c r="J175">
        <v>-1.0882099999999999</v>
      </c>
      <c r="K175">
        <v>110.73953</v>
      </c>
    </row>
    <row r="176" spans="1:11" x14ac:dyDescent="0.25">
      <c r="A176" t="s">
        <v>913</v>
      </c>
      <c r="B176" t="s">
        <v>914</v>
      </c>
      <c r="C176" t="s">
        <v>915</v>
      </c>
      <c r="D176" t="s">
        <v>310</v>
      </c>
      <c r="E176">
        <v>6</v>
      </c>
      <c r="F176" t="s">
        <v>311</v>
      </c>
      <c r="G176" t="s">
        <v>328</v>
      </c>
      <c r="H176" t="s">
        <v>495</v>
      </c>
      <c r="I176" t="s">
        <v>915</v>
      </c>
      <c r="J176">
        <v>0.79890000000000005</v>
      </c>
      <c r="K176">
        <v>110.79655</v>
      </c>
    </row>
    <row r="177" spans="1:11" x14ac:dyDescent="0.25">
      <c r="A177" t="s">
        <v>179</v>
      </c>
      <c r="B177" t="s">
        <v>916</v>
      </c>
      <c r="C177" t="s">
        <v>917</v>
      </c>
      <c r="D177" t="s">
        <v>310</v>
      </c>
      <c r="E177">
        <v>6</v>
      </c>
      <c r="F177" t="s">
        <v>338</v>
      </c>
      <c r="G177" t="s">
        <v>339</v>
      </c>
      <c r="H177" t="s">
        <v>432</v>
      </c>
      <c r="I177" t="s">
        <v>917</v>
      </c>
      <c r="J177">
        <v>0.38946999999999998</v>
      </c>
      <c r="K177">
        <v>115.41737999999999</v>
      </c>
    </row>
    <row r="178" spans="1:11" x14ac:dyDescent="0.25">
      <c r="A178" t="s">
        <v>918</v>
      </c>
      <c r="B178" t="s">
        <v>919</v>
      </c>
      <c r="C178" t="s">
        <v>920</v>
      </c>
      <c r="D178" t="s">
        <v>310</v>
      </c>
      <c r="E178">
        <v>6</v>
      </c>
      <c r="F178" t="s">
        <v>317</v>
      </c>
      <c r="G178" t="s">
        <v>318</v>
      </c>
      <c r="H178" t="s">
        <v>909</v>
      </c>
      <c r="I178" t="s">
        <v>920</v>
      </c>
      <c r="J178">
        <v>4.3013199999999996</v>
      </c>
      <c r="K178">
        <v>116.4222</v>
      </c>
    </row>
    <row r="179" spans="1:11" x14ac:dyDescent="0.25">
      <c r="A179" t="s">
        <v>921</v>
      </c>
      <c r="B179" t="s">
        <v>922</v>
      </c>
      <c r="C179" t="s">
        <v>923</v>
      </c>
      <c r="D179" t="s">
        <v>310</v>
      </c>
      <c r="E179">
        <v>6</v>
      </c>
      <c r="F179" t="s">
        <v>311</v>
      </c>
      <c r="G179" t="s">
        <v>328</v>
      </c>
      <c r="H179" t="s">
        <v>495</v>
      </c>
      <c r="I179" t="s">
        <v>923</v>
      </c>
      <c r="J179">
        <v>0.84813000000000005</v>
      </c>
      <c r="K179">
        <v>110.98505</v>
      </c>
    </row>
    <row r="180" spans="1:11" x14ac:dyDescent="0.25">
      <c r="A180" t="s">
        <v>924</v>
      </c>
      <c r="B180" t="s">
        <v>925</v>
      </c>
      <c r="C180" t="s">
        <v>926</v>
      </c>
      <c r="D180" t="s">
        <v>310</v>
      </c>
      <c r="E180">
        <v>6</v>
      </c>
      <c r="F180" t="s">
        <v>311</v>
      </c>
      <c r="G180" t="s">
        <v>630</v>
      </c>
      <c r="H180" t="s">
        <v>927</v>
      </c>
      <c r="I180" t="s">
        <v>926</v>
      </c>
      <c r="J180">
        <v>0.75717000000000001</v>
      </c>
      <c r="K180">
        <v>109.51472</v>
      </c>
    </row>
    <row r="181" spans="1:11" x14ac:dyDescent="0.25">
      <c r="A181" t="s">
        <v>928</v>
      </c>
      <c r="B181" t="s">
        <v>929</v>
      </c>
      <c r="C181" t="s">
        <v>930</v>
      </c>
      <c r="D181" t="s">
        <v>310</v>
      </c>
      <c r="E181">
        <v>6</v>
      </c>
      <c r="F181" t="s">
        <v>311</v>
      </c>
      <c r="G181" t="s">
        <v>323</v>
      </c>
      <c r="H181" t="s">
        <v>574</v>
      </c>
      <c r="I181" t="s">
        <v>930</v>
      </c>
      <c r="J181">
        <v>-0.65744000000000002</v>
      </c>
      <c r="K181">
        <v>112.06068999999999</v>
      </c>
    </row>
    <row r="182" spans="1:11" x14ac:dyDescent="0.25">
      <c r="A182" t="s">
        <v>931</v>
      </c>
      <c r="B182" t="s">
        <v>932</v>
      </c>
      <c r="C182" t="s">
        <v>933</v>
      </c>
      <c r="D182" t="s">
        <v>310</v>
      </c>
      <c r="E182">
        <v>6</v>
      </c>
      <c r="F182" t="s">
        <v>311</v>
      </c>
      <c r="G182" t="s">
        <v>630</v>
      </c>
      <c r="H182" t="s">
        <v>934</v>
      </c>
      <c r="I182" t="s">
        <v>933</v>
      </c>
      <c r="J182">
        <v>1.06331</v>
      </c>
      <c r="K182">
        <v>110.02397000000001</v>
      </c>
    </row>
    <row r="183" spans="1:11" x14ac:dyDescent="0.25">
      <c r="A183" t="s">
        <v>225</v>
      </c>
      <c r="B183" t="s">
        <v>935</v>
      </c>
      <c r="C183" t="s">
        <v>936</v>
      </c>
      <c r="D183" t="s">
        <v>310</v>
      </c>
      <c r="E183">
        <v>6</v>
      </c>
      <c r="F183" t="s">
        <v>344</v>
      </c>
      <c r="G183" t="s">
        <v>345</v>
      </c>
      <c r="H183" t="s">
        <v>937</v>
      </c>
      <c r="I183" t="s">
        <v>936</v>
      </c>
      <c r="J183">
        <v>-1.7905199999999999</v>
      </c>
      <c r="K183">
        <v>112.27569</v>
      </c>
    </row>
    <row r="184" spans="1:11" x14ac:dyDescent="0.25">
      <c r="A184" t="s">
        <v>938</v>
      </c>
      <c r="B184" t="s">
        <v>939</v>
      </c>
      <c r="C184" t="s">
        <v>940</v>
      </c>
      <c r="D184" t="s">
        <v>310</v>
      </c>
      <c r="E184">
        <v>6</v>
      </c>
      <c r="F184" t="s">
        <v>344</v>
      </c>
      <c r="G184" t="s">
        <v>415</v>
      </c>
      <c r="H184" t="s">
        <v>941</v>
      </c>
      <c r="I184" t="s">
        <v>940</v>
      </c>
      <c r="J184">
        <v>-1.5531900000000001</v>
      </c>
      <c r="K184">
        <v>111.20329</v>
      </c>
    </row>
    <row r="185" spans="1:11" x14ac:dyDescent="0.25">
      <c r="A185" t="s">
        <v>226</v>
      </c>
      <c r="B185" t="s">
        <v>942</v>
      </c>
      <c r="C185" t="s">
        <v>943</v>
      </c>
      <c r="D185" t="s">
        <v>310</v>
      </c>
      <c r="E185">
        <v>6</v>
      </c>
      <c r="F185" t="s">
        <v>344</v>
      </c>
      <c r="G185" t="s">
        <v>345</v>
      </c>
      <c r="H185" t="s">
        <v>937</v>
      </c>
      <c r="I185" t="s">
        <v>943</v>
      </c>
      <c r="J185">
        <v>-1.63002</v>
      </c>
      <c r="K185">
        <v>112.27889999999999</v>
      </c>
    </row>
    <row r="186" spans="1:11" x14ac:dyDescent="0.25">
      <c r="A186" t="s">
        <v>944</v>
      </c>
      <c r="B186" t="s">
        <v>945</v>
      </c>
      <c r="C186" t="s">
        <v>946</v>
      </c>
      <c r="D186" t="s">
        <v>310</v>
      </c>
      <c r="E186">
        <v>6</v>
      </c>
      <c r="F186" t="s">
        <v>311</v>
      </c>
      <c r="G186" t="s">
        <v>509</v>
      </c>
      <c r="H186" t="s">
        <v>729</v>
      </c>
      <c r="I186" t="s">
        <v>946</v>
      </c>
      <c r="J186">
        <v>-0.78242</v>
      </c>
      <c r="K186">
        <v>110.50388</v>
      </c>
    </row>
    <row r="187" spans="1:11" x14ac:dyDescent="0.25">
      <c r="A187" t="s">
        <v>947</v>
      </c>
      <c r="B187" t="s">
        <v>948</v>
      </c>
      <c r="C187" t="s">
        <v>949</v>
      </c>
      <c r="D187" t="s">
        <v>310</v>
      </c>
      <c r="E187">
        <v>6</v>
      </c>
      <c r="F187" t="s">
        <v>311</v>
      </c>
      <c r="G187" t="s">
        <v>328</v>
      </c>
      <c r="H187" t="s">
        <v>498</v>
      </c>
      <c r="I187" t="s">
        <v>949</v>
      </c>
      <c r="J187">
        <v>-0.35657</v>
      </c>
      <c r="K187">
        <v>111.34667</v>
      </c>
    </row>
    <row r="188" spans="1:11" x14ac:dyDescent="0.25">
      <c r="A188" t="s">
        <v>950</v>
      </c>
      <c r="B188" t="s">
        <v>951</v>
      </c>
      <c r="C188" t="s">
        <v>952</v>
      </c>
      <c r="D188" t="s">
        <v>310</v>
      </c>
      <c r="E188">
        <v>6</v>
      </c>
      <c r="F188" t="s">
        <v>311</v>
      </c>
      <c r="G188" t="s">
        <v>323</v>
      </c>
      <c r="H188" t="s">
        <v>755</v>
      </c>
      <c r="I188" t="s">
        <v>952</v>
      </c>
      <c r="J188">
        <v>-0.62988999999999995</v>
      </c>
      <c r="K188">
        <v>111.66158</v>
      </c>
    </row>
    <row r="189" spans="1:11" x14ac:dyDescent="0.25">
      <c r="A189" t="s">
        <v>953</v>
      </c>
      <c r="B189" t="s">
        <v>954</v>
      </c>
      <c r="C189" t="s">
        <v>955</v>
      </c>
      <c r="D189" t="s">
        <v>310</v>
      </c>
      <c r="E189">
        <v>6</v>
      </c>
      <c r="F189" t="s">
        <v>311</v>
      </c>
      <c r="G189" t="s">
        <v>328</v>
      </c>
      <c r="H189" t="s">
        <v>498</v>
      </c>
      <c r="I189" t="s">
        <v>955</v>
      </c>
      <c r="J189">
        <v>-0.32202999999999998</v>
      </c>
      <c r="K189">
        <v>111.29016</v>
      </c>
    </row>
    <row r="190" spans="1:11" x14ac:dyDescent="0.25">
      <c r="A190" t="s">
        <v>956</v>
      </c>
      <c r="B190" t="s">
        <v>957</v>
      </c>
      <c r="C190" t="s">
        <v>958</v>
      </c>
      <c r="D190" t="s">
        <v>310</v>
      </c>
      <c r="E190">
        <v>6</v>
      </c>
      <c r="F190" t="s">
        <v>317</v>
      </c>
      <c r="G190" t="s">
        <v>318</v>
      </c>
      <c r="H190" t="s">
        <v>396</v>
      </c>
      <c r="I190" t="s">
        <v>958</v>
      </c>
      <c r="J190">
        <v>3.8187600000000002</v>
      </c>
      <c r="K190">
        <v>115.74206</v>
      </c>
    </row>
    <row r="191" spans="1:11" x14ac:dyDescent="0.25">
      <c r="A191" t="s">
        <v>959</v>
      </c>
      <c r="B191" t="s">
        <v>960</v>
      </c>
      <c r="C191" t="s">
        <v>961</v>
      </c>
      <c r="D191" t="s">
        <v>310</v>
      </c>
      <c r="E191">
        <v>6</v>
      </c>
      <c r="F191" t="s">
        <v>311</v>
      </c>
      <c r="G191" t="s">
        <v>328</v>
      </c>
      <c r="H191" t="s">
        <v>461</v>
      </c>
      <c r="I191" t="s">
        <v>961</v>
      </c>
      <c r="J191">
        <v>-0.38313999999999998</v>
      </c>
      <c r="K191">
        <v>112.50479</v>
      </c>
    </row>
    <row r="192" spans="1:11" x14ac:dyDescent="0.25">
      <c r="A192" t="s">
        <v>962</v>
      </c>
      <c r="B192" t="s">
        <v>963</v>
      </c>
      <c r="C192" t="s">
        <v>964</v>
      </c>
      <c r="D192" t="s">
        <v>310</v>
      </c>
      <c r="E192">
        <v>6</v>
      </c>
      <c r="F192" t="s">
        <v>311</v>
      </c>
      <c r="G192" t="s">
        <v>328</v>
      </c>
      <c r="H192" t="s">
        <v>615</v>
      </c>
      <c r="I192" t="s">
        <v>964</v>
      </c>
      <c r="J192">
        <v>0.67762999999999995</v>
      </c>
      <c r="K192">
        <v>111.33374000000001</v>
      </c>
    </row>
    <row r="193" spans="1:11" x14ac:dyDescent="0.25">
      <c r="A193" t="s">
        <v>190</v>
      </c>
      <c r="B193" t="s">
        <v>965</v>
      </c>
      <c r="C193" t="s">
        <v>966</v>
      </c>
      <c r="D193" t="s">
        <v>310</v>
      </c>
      <c r="E193">
        <v>6</v>
      </c>
      <c r="F193" t="s">
        <v>311</v>
      </c>
      <c r="G193" t="s">
        <v>509</v>
      </c>
      <c r="H193" t="s">
        <v>658</v>
      </c>
      <c r="I193" t="s">
        <v>966</v>
      </c>
      <c r="J193">
        <v>-1.1689799999999999</v>
      </c>
      <c r="K193">
        <v>110.75771</v>
      </c>
    </row>
    <row r="194" spans="1:11" x14ac:dyDescent="0.25">
      <c r="A194" t="s">
        <v>967</v>
      </c>
      <c r="B194" t="s">
        <v>968</v>
      </c>
      <c r="C194" t="s">
        <v>969</v>
      </c>
      <c r="D194" t="s">
        <v>310</v>
      </c>
      <c r="E194">
        <v>6</v>
      </c>
      <c r="F194" t="s">
        <v>311</v>
      </c>
      <c r="G194" t="s">
        <v>328</v>
      </c>
      <c r="H194" t="s">
        <v>970</v>
      </c>
      <c r="I194" t="s">
        <v>969</v>
      </c>
      <c r="J194">
        <v>0.23912</v>
      </c>
      <c r="K194">
        <v>111.40128</v>
      </c>
    </row>
    <row r="195" spans="1:11" x14ac:dyDescent="0.25">
      <c r="A195" t="s">
        <v>971</v>
      </c>
      <c r="B195" t="s">
        <v>972</v>
      </c>
      <c r="C195" t="s">
        <v>973</v>
      </c>
      <c r="D195" t="s">
        <v>310</v>
      </c>
      <c r="E195">
        <v>6</v>
      </c>
      <c r="F195" t="s">
        <v>311</v>
      </c>
      <c r="G195" t="s">
        <v>328</v>
      </c>
      <c r="H195" t="s">
        <v>461</v>
      </c>
      <c r="I195" t="s">
        <v>973</v>
      </c>
      <c r="J195">
        <v>-0.49956</v>
      </c>
      <c r="K195">
        <v>112.50576</v>
      </c>
    </row>
    <row r="196" spans="1:11" x14ac:dyDescent="0.25">
      <c r="A196" t="s">
        <v>974</v>
      </c>
      <c r="B196" t="s">
        <v>975</v>
      </c>
      <c r="C196" t="s">
        <v>976</v>
      </c>
      <c r="D196" t="s">
        <v>310</v>
      </c>
      <c r="E196">
        <v>6</v>
      </c>
      <c r="F196" t="s">
        <v>311</v>
      </c>
      <c r="G196" t="s">
        <v>312</v>
      </c>
      <c r="H196" t="s">
        <v>977</v>
      </c>
      <c r="I196" t="s">
        <v>976</v>
      </c>
      <c r="J196">
        <v>0.84701000000000004</v>
      </c>
      <c r="K196">
        <v>113.68801000000001</v>
      </c>
    </row>
    <row r="197" spans="1:11" x14ac:dyDescent="0.25">
      <c r="A197" t="s">
        <v>978</v>
      </c>
      <c r="B197" t="s">
        <v>979</v>
      </c>
      <c r="C197" t="s">
        <v>980</v>
      </c>
      <c r="D197" t="s">
        <v>310</v>
      </c>
      <c r="E197">
        <v>6</v>
      </c>
      <c r="F197" t="s">
        <v>311</v>
      </c>
      <c r="G197" t="s">
        <v>328</v>
      </c>
      <c r="H197" t="s">
        <v>329</v>
      </c>
      <c r="I197" t="s">
        <v>980</v>
      </c>
      <c r="J197">
        <v>-9.5E-4</v>
      </c>
      <c r="K197">
        <v>112.2146</v>
      </c>
    </row>
    <row r="198" spans="1:11" x14ac:dyDescent="0.25">
      <c r="A198" t="s">
        <v>227</v>
      </c>
      <c r="B198" t="s">
        <v>981</v>
      </c>
      <c r="C198" t="s">
        <v>982</v>
      </c>
      <c r="D198" t="s">
        <v>310</v>
      </c>
      <c r="E198">
        <v>6</v>
      </c>
      <c r="F198" t="s">
        <v>344</v>
      </c>
      <c r="G198" t="s">
        <v>370</v>
      </c>
      <c r="H198" t="s">
        <v>647</v>
      </c>
      <c r="I198" t="s">
        <v>982</v>
      </c>
      <c r="J198">
        <v>-1.3117300000000001</v>
      </c>
      <c r="K198">
        <v>111.8402</v>
      </c>
    </row>
    <row r="199" spans="1:11" x14ac:dyDescent="0.25">
      <c r="A199" t="s">
        <v>983</v>
      </c>
      <c r="B199" t="s">
        <v>984</v>
      </c>
      <c r="C199" t="s">
        <v>985</v>
      </c>
      <c r="D199" t="s">
        <v>310</v>
      </c>
      <c r="E199">
        <v>6</v>
      </c>
      <c r="F199" t="s">
        <v>317</v>
      </c>
      <c r="G199" t="s">
        <v>318</v>
      </c>
      <c r="H199" t="s">
        <v>564</v>
      </c>
      <c r="I199" t="s">
        <v>985</v>
      </c>
      <c r="J199">
        <v>3.91866</v>
      </c>
      <c r="K199">
        <v>116.58794</v>
      </c>
    </row>
    <row r="200" spans="1:11" x14ac:dyDescent="0.25">
      <c r="A200" t="s">
        <v>110</v>
      </c>
      <c r="B200" t="s">
        <v>986</v>
      </c>
      <c r="C200" t="s">
        <v>987</v>
      </c>
      <c r="D200" t="s">
        <v>310</v>
      </c>
      <c r="E200">
        <v>6</v>
      </c>
      <c r="F200" t="s">
        <v>317</v>
      </c>
      <c r="G200" t="s">
        <v>318</v>
      </c>
      <c r="H200" t="s">
        <v>909</v>
      </c>
      <c r="I200" t="s">
        <v>987</v>
      </c>
      <c r="J200">
        <v>4.2814899999999998</v>
      </c>
      <c r="K200">
        <v>116.26572</v>
      </c>
    </row>
    <row r="201" spans="1:11" x14ac:dyDescent="0.25">
      <c r="A201" t="s">
        <v>988</v>
      </c>
      <c r="B201" t="s">
        <v>989</v>
      </c>
      <c r="C201" t="s">
        <v>990</v>
      </c>
      <c r="D201" t="s">
        <v>310</v>
      </c>
      <c r="E201">
        <v>6</v>
      </c>
      <c r="F201" t="s">
        <v>311</v>
      </c>
      <c r="G201" t="s">
        <v>312</v>
      </c>
      <c r="H201" t="s">
        <v>486</v>
      </c>
      <c r="I201" t="s">
        <v>990</v>
      </c>
      <c r="J201">
        <v>0.38714999999999999</v>
      </c>
      <c r="K201">
        <v>112.06211999999999</v>
      </c>
    </row>
    <row r="202" spans="1:11" x14ac:dyDescent="0.25">
      <c r="A202" t="s">
        <v>991</v>
      </c>
      <c r="B202" t="s">
        <v>992</v>
      </c>
      <c r="C202" t="s">
        <v>993</v>
      </c>
      <c r="D202" t="s">
        <v>310</v>
      </c>
      <c r="E202">
        <v>6</v>
      </c>
      <c r="F202" t="s">
        <v>338</v>
      </c>
      <c r="G202" t="s">
        <v>339</v>
      </c>
      <c r="H202" t="s">
        <v>522</v>
      </c>
      <c r="I202" t="s">
        <v>993</v>
      </c>
      <c r="J202">
        <v>0.74067000000000005</v>
      </c>
      <c r="K202">
        <v>114.06097</v>
      </c>
    </row>
    <row r="203" spans="1:11" x14ac:dyDescent="0.25">
      <c r="A203" t="s">
        <v>994</v>
      </c>
      <c r="B203" t="s">
        <v>995</v>
      </c>
      <c r="C203" t="s">
        <v>996</v>
      </c>
      <c r="D203" t="s">
        <v>310</v>
      </c>
      <c r="E203">
        <v>6</v>
      </c>
      <c r="F203" t="s">
        <v>338</v>
      </c>
      <c r="G203" t="s">
        <v>339</v>
      </c>
      <c r="H203" t="s">
        <v>340</v>
      </c>
      <c r="I203" t="s">
        <v>996</v>
      </c>
      <c r="J203">
        <v>0.28062999999999999</v>
      </c>
      <c r="K203">
        <v>115.53203999999999</v>
      </c>
    </row>
    <row r="204" spans="1:11" x14ac:dyDescent="0.25">
      <c r="A204" t="s">
        <v>997</v>
      </c>
      <c r="B204" t="s">
        <v>998</v>
      </c>
      <c r="C204" t="s">
        <v>999</v>
      </c>
      <c r="D204" t="s">
        <v>310</v>
      </c>
      <c r="E204">
        <v>6</v>
      </c>
      <c r="F204" t="s">
        <v>311</v>
      </c>
      <c r="G204" t="s">
        <v>598</v>
      </c>
      <c r="H204" t="s">
        <v>1000</v>
      </c>
      <c r="I204" t="s">
        <v>999</v>
      </c>
      <c r="J204">
        <v>-1.1616299999999999</v>
      </c>
      <c r="K204">
        <v>109.73752</v>
      </c>
    </row>
    <row r="205" spans="1:11" x14ac:dyDescent="0.25">
      <c r="A205" t="s">
        <v>1001</v>
      </c>
      <c r="B205" t="s">
        <v>1002</v>
      </c>
      <c r="C205" t="s">
        <v>1003</v>
      </c>
      <c r="D205" t="s">
        <v>310</v>
      </c>
      <c r="E205">
        <v>6</v>
      </c>
      <c r="F205" t="s">
        <v>311</v>
      </c>
      <c r="G205" t="s">
        <v>509</v>
      </c>
      <c r="H205" t="s">
        <v>1004</v>
      </c>
      <c r="I205" t="s">
        <v>1003</v>
      </c>
      <c r="J205">
        <v>-1.99471</v>
      </c>
      <c r="K205">
        <v>110.86695</v>
      </c>
    </row>
    <row r="206" spans="1:11" x14ac:dyDescent="0.25">
      <c r="A206" t="s">
        <v>1005</v>
      </c>
      <c r="B206" t="s">
        <v>1006</v>
      </c>
      <c r="C206" t="s">
        <v>1007</v>
      </c>
      <c r="D206" t="s">
        <v>310</v>
      </c>
      <c r="E206">
        <v>6</v>
      </c>
      <c r="F206" t="s">
        <v>311</v>
      </c>
      <c r="G206" t="s">
        <v>328</v>
      </c>
      <c r="H206" t="s">
        <v>615</v>
      </c>
      <c r="I206" t="s">
        <v>1007</v>
      </c>
      <c r="J206">
        <v>0.84704000000000002</v>
      </c>
      <c r="K206">
        <v>111.39502</v>
      </c>
    </row>
    <row r="207" spans="1:11" x14ac:dyDescent="0.25">
      <c r="A207" t="s">
        <v>1008</v>
      </c>
      <c r="B207" t="s">
        <v>1009</v>
      </c>
      <c r="C207" t="s">
        <v>1010</v>
      </c>
      <c r="D207" t="s">
        <v>310</v>
      </c>
      <c r="E207">
        <v>6</v>
      </c>
      <c r="F207" t="s">
        <v>344</v>
      </c>
      <c r="G207" t="s">
        <v>366</v>
      </c>
      <c r="H207" t="s">
        <v>378</v>
      </c>
      <c r="I207" t="s">
        <v>1010</v>
      </c>
      <c r="J207">
        <v>-1.06029</v>
      </c>
      <c r="K207">
        <v>113.03937000000001</v>
      </c>
    </row>
    <row r="208" spans="1:11" x14ac:dyDescent="0.25">
      <c r="A208" t="s">
        <v>1011</v>
      </c>
      <c r="B208" t="s">
        <v>1012</v>
      </c>
      <c r="C208" t="s">
        <v>1013</v>
      </c>
      <c r="D208" t="s">
        <v>310</v>
      </c>
      <c r="E208">
        <v>6</v>
      </c>
      <c r="F208" t="s">
        <v>311</v>
      </c>
      <c r="G208" t="s">
        <v>323</v>
      </c>
      <c r="H208" t="s">
        <v>682</v>
      </c>
      <c r="I208" t="s">
        <v>1013</v>
      </c>
      <c r="J208">
        <v>-0.49335000000000001</v>
      </c>
      <c r="K208">
        <v>112.32362000000001</v>
      </c>
    </row>
    <row r="209" spans="1:11" x14ac:dyDescent="0.25">
      <c r="A209" t="s">
        <v>1014</v>
      </c>
      <c r="B209" t="s">
        <v>1015</v>
      </c>
      <c r="C209" t="s">
        <v>1016</v>
      </c>
      <c r="D209" t="s">
        <v>310</v>
      </c>
      <c r="E209">
        <v>6</v>
      </c>
      <c r="F209" t="s">
        <v>311</v>
      </c>
      <c r="G209" t="s">
        <v>436</v>
      </c>
      <c r="H209" t="s">
        <v>635</v>
      </c>
      <c r="I209" t="s">
        <v>1016</v>
      </c>
      <c r="J209">
        <v>0.64397000000000004</v>
      </c>
      <c r="K209">
        <v>110.149</v>
      </c>
    </row>
    <row r="210" spans="1:11" x14ac:dyDescent="0.25">
      <c r="A210" t="s">
        <v>1017</v>
      </c>
      <c r="B210" t="s">
        <v>1018</v>
      </c>
      <c r="C210" t="s">
        <v>1019</v>
      </c>
      <c r="D210" t="s">
        <v>310</v>
      </c>
      <c r="E210">
        <v>6</v>
      </c>
      <c r="F210" t="s">
        <v>338</v>
      </c>
      <c r="G210" t="s">
        <v>339</v>
      </c>
      <c r="H210" t="s">
        <v>502</v>
      </c>
      <c r="I210" t="s">
        <v>1019</v>
      </c>
      <c r="J210">
        <v>0.91915999999999998</v>
      </c>
      <c r="K210">
        <v>114.58934000000001</v>
      </c>
    </row>
    <row r="211" spans="1:11" x14ac:dyDescent="0.25">
      <c r="A211" t="s">
        <v>1020</v>
      </c>
      <c r="B211" t="s">
        <v>1021</v>
      </c>
      <c r="C211" t="s">
        <v>1022</v>
      </c>
      <c r="D211" t="s">
        <v>310</v>
      </c>
      <c r="E211">
        <v>6</v>
      </c>
      <c r="F211" t="s">
        <v>311</v>
      </c>
      <c r="G211" t="s">
        <v>312</v>
      </c>
      <c r="H211" t="s">
        <v>768</v>
      </c>
      <c r="I211" t="s">
        <v>1022</v>
      </c>
      <c r="J211">
        <v>0.62961</v>
      </c>
      <c r="K211">
        <v>113.22450000000001</v>
      </c>
    </row>
    <row r="212" spans="1:11" x14ac:dyDescent="0.25">
      <c r="A212" t="s">
        <v>1023</v>
      </c>
      <c r="B212" t="s">
        <v>1024</v>
      </c>
      <c r="C212" t="s">
        <v>1025</v>
      </c>
      <c r="D212" t="s">
        <v>310</v>
      </c>
      <c r="E212">
        <v>6</v>
      </c>
      <c r="F212" t="s">
        <v>311</v>
      </c>
      <c r="G212" t="s">
        <v>509</v>
      </c>
      <c r="H212" t="s">
        <v>510</v>
      </c>
      <c r="I212" t="s">
        <v>1025</v>
      </c>
      <c r="J212">
        <v>-0.96528000000000003</v>
      </c>
      <c r="K212">
        <v>110.34520000000001</v>
      </c>
    </row>
    <row r="213" spans="1:11" x14ac:dyDescent="0.25">
      <c r="A213" t="s">
        <v>1026</v>
      </c>
      <c r="B213" t="s">
        <v>1027</v>
      </c>
      <c r="C213" t="s">
        <v>1028</v>
      </c>
      <c r="D213" t="s">
        <v>310</v>
      </c>
      <c r="E213">
        <v>6</v>
      </c>
      <c r="F213" t="s">
        <v>317</v>
      </c>
      <c r="G213" t="s">
        <v>354</v>
      </c>
      <c r="H213" t="s">
        <v>355</v>
      </c>
      <c r="I213" t="s">
        <v>1028</v>
      </c>
      <c r="J213">
        <v>2.7459099999999999</v>
      </c>
      <c r="K213">
        <v>116.83748</v>
      </c>
    </row>
    <row r="214" spans="1:11" x14ac:dyDescent="0.25">
      <c r="A214" t="s">
        <v>1029</v>
      </c>
      <c r="B214" t="s">
        <v>1030</v>
      </c>
      <c r="C214" t="s">
        <v>1031</v>
      </c>
      <c r="D214" t="s">
        <v>310</v>
      </c>
      <c r="E214">
        <v>6</v>
      </c>
      <c r="F214" t="s">
        <v>311</v>
      </c>
      <c r="G214" t="s">
        <v>312</v>
      </c>
      <c r="H214" t="s">
        <v>547</v>
      </c>
      <c r="I214" t="s">
        <v>1031</v>
      </c>
      <c r="J214">
        <v>0.52137999999999995</v>
      </c>
      <c r="K214">
        <v>112.8954</v>
      </c>
    </row>
    <row r="215" spans="1:11" x14ac:dyDescent="0.25">
      <c r="A215" t="s">
        <v>187</v>
      </c>
      <c r="B215" t="s">
        <v>1032</v>
      </c>
      <c r="C215" t="s">
        <v>1033</v>
      </c>
      <c r="D215" t="s">
        <v>310</v>
      </c>
      <c r="E215">
        <v>6</v>
      </c>
      <c r="F215" t="s">
        <v>344</v>
      </c>
      <c r="G215" t="s">
        <v>370</v>
      </c>
      <c r="H215" t="s">
        <v>371</v>
      </c>
      <c r="I215" t="s">
        <v>1033</v>
      </c>
      <c r="J215">
        <v>-2.13192</v>
      </c>
      <c r="K215">
        <v>112.17621</v>
      </c>
    </row>
    <row r="216" spans="1:11" x14ac:dyDescent="0.25">
      <c r="A216" t="s">
        <v>1034</v>
      </c>
      <c r="B216" t="s">
        <v>1035</v>
      </c>
      <c r="C216" t="s">
        <v>1036</v>
      </c>
      <c r="D216" t="s">
        <v>310</v>
      </c>
      <c r="E216">
        <v>6</v>
      </c>
      <c r="F216" t="s">
        <v>311</v>
      </c>
      <c r="G216" t="s">
        <v>328</v>
      </c>
      <c r="H216" t="s">
        <v>350</v>
      </c>
      <c r="I216" t="s">
        <v>1036</v>
      </c>
      <c r="J216">
        <v>1.23E-2</v>
      </c>
      <c r="K216">
        <v>112.67224</v>
      </c>
    </row>
    <row r="217" spans="1:11" x14ac:dyDescent="0.25">
      <c r="A217" t="s">
        <v>1037</v>
      </c>
      <c r="B217" t="s">
        <v>1038</v>
      </c>
      <c r="C217" t="s">
        <v>1039</v>
      </c>
      <c r="D217" t="s">
        <v>310</v>
      </c>
      <c r="E217">
        <v>6</v>
      </c>
      <c r="F217" t="s">
        <v>311</v>
      </c>
      <c r="G217" t="s">
        <v>312</v>
      </c>
      <c r="H217" t="s">
        <v>570</v>
      </c>
      <c r="I217" t="s">
        <v>1039</v>
      </c>
      <c r="J217">
        <v>0.37237999999999999</v>
      </c>
      <c r="K217">
        <v>112.86893999999999</v>
      </c>
    </row>
    <row r="218" spans="1:11" x14ac:dyDescent="0.25">
      <c r="A218" t="s">
        <v>1040</v>
      </c>
      <c r="B218" t="s">
        <v>1041</v>
      </c>
      <c r="C218" t="s">
        <v>1042</v>
      </c>
      <c r="D218" t="s">
        <v>310</v>
      </c>
      <c r="E218">
        <v>6</v>
      </c>
      <c r="F218" t="s">
        <v>311</v>
      </c>
      <c r="G218" t="s">
        <v>436</v>
      </c>
      <c r="H218" t="s">
        <v>437</v>
      </c>
      <c r="I218" t="s">
        <v>1042</v>
      </c>
      <c r="J218">
        <v>0.53525</v>
      </c>
      <c r="K218">
        <v>109.88997999999999</v>
      </c>
    </row>
    <row r="219" spans="1:11" x14ac:dyDescent="0.25">
      <c r="A219" t="s">
        <v>1043</v>
      </c>
      <c r="B219" t="s">
        <v>1044</v>
      </c>
      <c r="C219" t="s">
        <v>1045</v>
      </c>
      <c r="D219" t="s">
        <v>310</v>
      </c>
      <c r="E219">
        <v>6</v>
      </c>
      <c r="F219" t="s">
        <v>311</v>
      </c>
      <c r="G219" t="s">
        <v>509</v>
      </c>
      <c r="H219" t="s">
        <v>658</v>
      </c>
      <c r="I219" t="s">
        <v>1045</v>
      </c>
      <c r="J219">
        <v>-0.99827999999999995</v>
      </c>
      <c r="K219">
        <v>110.76624</v>
      </c>
    </row>
    <row r="220" spans="1:11" x14ac:dyDescent="0.25">
      <c r="A220" t="s">
        <v>201</v>
      </c>
      <c r="B220" t="s">
        <v>1046</v>
      </c>
      <c r="C220" t="s">
        <v>1047</v>
      </c>
      <c r="D220" t="s">
        <v>310</v>
      </c>
      <c r="E220">
        <v>6</v>
      </c>
      <c r="F220" t="s">
        <v>338</v>
      </c>
      <c r="G220" t="s">
        <v>381</v>
      </c>
      <c r="H220" t="s">
        <v>382</v>
      </c>
      <c r="I220" t="s">
        <v>1047</v>
      </c>
      <c r="J220">
        <v>1.0035000000000001</v>
      </c>
      <c r="K220">
        <v>118.97835000000001</v>
      </c>
    </row>
    <row r="221" spans="1:11" x14ac:dyDescent="0.25">
      <c r="A221" t="s">
        <v>1048</v>
      </c>
      <c r="B221" t="s">
        <v>1049</v>
      </c>
      <c r="C221" t="s">
        <v>1050</v>
      </c>
      <c r="D221" t="s">
        <v>310</v>
      </c>
      <c r="E221">
        <v>6</v>
      </c>
      <c r="F221" t="s">
        <v>344</v>
      </c>
      <c r="G221" t="s">
        <v>370</v>
      </c>
      <c r="H221" t="s">
        <v>647</v>
      </c>
      <c r="I221" t="s">
        <v>1050</v>
      </c>
      <c r="J221">
        <v>-1.2892699999999999</v>
      </c>
      <c r="K221">
        <v>112.02614</v>
      </c>
    </row>
    <row r="222" spans="1:11" x14ac:dyDescent="0.25">
      <c r="A222" t="s">
        <v>1051</v>
      </c>
      <c r="B222" t="s">
        <v>1052</v>
      </c>
      <c r="C222" t="s">
        <v>1053</v>
      </c>
      <c r="D222" t="s">
        <v>310</v>
      </c>
      <c r="E222">
        <v>6</v>
      </c>
      <c r="F222" t="s">
        <v>311</v>
      </c>
      <c r="G222" t="s">
        <v>323</v>
      </c>
      <c r="H222" t="s">
        <v>324</v>
      </c>
      <c r="I222" t="s">
        <v>1053</v>
      </c>
      <c r="J222">
        <v>-0.63692000000000004</v>
      </c>
      <c r="K222">
        <v>111.5078</v>
      </c>
    </row>
    <row r="223" spans="1:11" x14ac:dyDescent="0.25">
      <c r="A223" t="s">
        <v>1054</v>
      </c>
      <c r="B223" t="s">
        <v>1055</v>
      </c>
      <c r="C223" t="s">
        <v>1056</v>
      </c>
      <c r="D223" t="s">
        <v>310</v>
      </c>
      <c r="E223">
        <v>6</v>
      </c>
      <c r="F223" t="s">
        <v>311</v>
      </c>
      <c r="G223" t="s">
        <v>436</v>
      </c>
      <c r="H223" t="s">
        <v>843</v>
      </c>
      <c r="I223" t="s">
        <v>1056</v>
      </c>
      <c r="J223">
        <v>0.63568999999999998</v>
      </c>
      <c r="K223">
        <v>109.3175</v>
      </c>
    </row>
    <row r="224" spans="1:11" x14ac:dyDescent="0.25">
      <c r="A224" t="s">
        <v>1057</v>
      </c>
      <c r="B224" t="s">
        <v>1058</v>
      </c>
      <c r="C224" t="s">
        <v>1059</v>
      </c>
      <c r="D224" t="s">
        <v>310</v>
      </c>
      <c r="E224">
        <v>6</v>
      </c>
      <c r="F224" t="s">
        <v>344</v>
      </c>
      <c r="G224" t="s">
        <v>415</v>
      </c>
      <c r="H224" t="s">
        <v>415</v>
      </c>
      <c r="I224" t="s">
        <v>1059</v>
      </c>
      <c r="J224">
        <v>-1.7946</v>
      </c>
      <c r="K224">
        <v>111.09309</v>
      </c>
    </row>
    <row r="225" spans="1:11" x14ac:dyDescent="0.25">
      <c r="A225" t="s">
        <v>1060</v>
      </c>
      <c r="B225" t="s">
        <v>1061</v>
      </c>
      <c r="C225" t="s">
        <v>1062</v>
      </c>
      <c r="D225" t="s">
        <v>310</v>
      </c>
      <c r="E225">
        <v>6</v>
      </c>
      <c r="F225" t="s">
        <v>311</v>
      </c>
      <c r="G225" t="s">
        <v>436</v>
      </c>
      <c r="H225" t="s">
        <v>1063</v>
      </c>
      <c r="I225" t="s">
        <v>1062</v>
      </c>
      <c r="J225">
        <v>0.16078999999999999</v>
      </c>
      <c r="K225">
        <v>109.58543</v>
      </c>
    </row>
    <row r="226" spans="1:11" x14ac:dyDescent="0.25">
      <c r="A226" t="s">
        <v>1064</v>
      </c>
      <c r="B226" t="s">
        <v>1065</v>
      </c>
      <c r="C226" t="s">
        <v>1066</v>
      </c>
      <c r="D226" t="s">
        <v>310</v>
      </c>
      <c r="E226">
        <v>6</v>
      </c>
      <c r="F226" t="s">
        <v>311</v>
      </c>
      <c r="G226" t="s">
        <v>328</v>
      </c>
      <c r="H226" t="s">
        <v>350</v>
      </c>
      <c r="I226" t="s">
        <v>1066</v>
      </c>
      <c r="J226">
        <v>-0.10675999999999999</v>
      </c>
      <c r="K226">
        <v>112.76076</v>
      </c>
    </row>
    <row r="227" spans="1:11" x14ac:dyDescent="0.25">
      <c r="A227" t="s">
        <v>1067</v>
      </c>
      <c r="B227" t="s">
        <v>1068</v>
      </c>
      <c r="C227" t="s">
        <v>1069</v>
      </c>
      <c r="D227" t="s">
        <v>310</v>
      </c>
      <c r="E227">
        <v>6</v>
      </c>
      <c r="F227" t="s">
        <v>311</v>
      </c>
      <c r="G227" t="s">
        <v>323</v>
      </c>
      <c r="H227" t="s">
        <v>514</v>
      </c>
      <c r="I227" t="s">
        <v>1069</v>
      </c>
      <c r="J227">
        <v>-1.1521999999999999</v>
      </c>
      <c r="K227">
        <v>111.43349000000001</v>
      </c>
    </row>
    <row r="228" spans="1:11" x14ac:dyDescent="0.25">
      <c r="A228" t="s">
        <v>1070</v>
      </c>
      <c r="B228" t="s">
        <v>1071</v>
      </c>
      <c r="C228" t="s">
        <v>1072</v>
      </c>
      <c r="D228" t="s">
        <v>310</v>
      </c>
      <c r="E228">
        <v>6</v>
      </c>
      <c r="F228" t="s">
        <v>311</v>
      </c>
      <c r="G228" t="s">
        <v>436</v>
      </c>
      <c r="H228" t="s">
        <v>1063</v>
      </c>
      <c r="I228" t="s">
        <v>1072</v>
      </c>
      <c r="J228">
        <v>0.17116999999999999</v>
      </c>
      <c r="K228">
        <v>109.63941</v>
      </c>
    </row>
    <row r="229" spans="1:11" x14ac:dyDescent="0.25">
      <c r="A229" t="s">
        <v>1073</v>
      </c>
      <c r="B229" t="s">
        <v>1074</v>
      </c>
      <c r="C229" t="s">
        <v>1075</v>
      </c>
      <c r="D229" t="s">
        <v>310</v>
      </c>
      <c r="E229">
        <v>6</v>
      </c>
      <c r="F229" t="s">
        <v>311</v>
      </c>
      <c r="G229" t="s">
        <v>436</v>
      </c>
      <c r="H229" t="s">
        <v>532</v>
      </c>
      <c r="I229" t="s">
        <v>1075</v>
      </c>
      <c r="J229">
        <v>0.66261000000000003</v>
      </c>
      <c r="K229">
        <v>109.6176</v>
      </c>
    </row>
    <row r="230" spans="1:11" x14ac:dyDescent="0.25">
      <c r="A230" t="s">
        <v>1076</v>
      </c>
      <c r="B230" t="s">
        <v>1077</v>
      </c>
      <c r="C230" t="s">
        <v>1078</v>
      </c>
      <c r="D230" t="s">
        <v>310</v>
      </c>
      <c r="E230">
        <v>6</v>
      </c>
      <c r="F230" t="s">
        <v>311</v>
      </c>
      <c r="G230" t="s">
        <v>509</v>
      </c>
      <c r="H230" t="s">
        <v>1004</v>
      </c>
      <c r="I230" t="s">
        <v>1078</v>
      </c>
      <c r="J230">
        <v>-1.87951</v>
      </c>
      <c r="K230">
        <v>110.83501</v>
      </c>
    </row>
    <row r="231" spans="1:11" x14ac:dyDescent="0.25">
      <c r="A231" t="s">
        <v>1079</v>
      </c>
      <c r="B231" t="s">
        <v>1080</v>
      </c>
      <c r="C231" t="s">
        <v>1081</v>
      </c>
      <c r="D231" t="s">
        <v>310</v>
      </c>
      <c r="E231">
        <v>6</v>
      </c>
      <c r="F231" t="s">
        <v>311</v>
      </c>
      <c r="G231" t="s">
        <v>436</v>
      </c>
      <c r="H231" t="s">
        <v>1082</v>
      </c>
      <c r="I231" t="s">
        <v>1081</v>
      </c>
      <c r="J231">
        <v>0.54884999999999995</v>
      </c>
      <c r="K231">
        <v>109.24275</v>
      </c>
    </row>
    <row r="232" spans="1:11" x14ac:dyDescent="0.25">
      <c r="A232" t="s">
        <v>1083</v>
      </c>
      <c r="B232" t="s">
        <v>1084</v>
      </c>
      <c r="C232" t="s">
        <v>1085</v>
      </c>
      <c r="D232" t="s">
        <v>310</v>
      </c>
      <c r="E232">
        <v>6</v>
      </c>
      <c r="F232" t="s">
        <v>311</v>
      </c>
      <c r="G232" t="s">
        <v>312</v>
      </c>
      <c r="H232" t="s">
        <v>313</v>
      </c>
      <c r="I232" t="s">
        <v>1085</v>
      </c>
      <c r="J232">
        <v>1.0804100000000001</v>
      </c>
      <c r="K232">
        <v>111.97633</v>
      </c>
    </row>
    <row r="233" spans="1:11" x14ac:dyDescent="0.25">
      <c r="A233" t="s">
        <v>1086</v>
      </c>
      <c r="B233" t="s">
        <v>1087</v>
      </c>
      <c r="C233" t="s">
        <v>1088</v>
      </c>
      <c r="D233" t="s">
        <v>310</v>
      </c>
      <c r="E233">
        <v>6</v>
      </c>
      <c r="F233" t="s">
        <v>311</v>
      </c>
      <c r="G233" t="s">
        <v>312</v>
      </c>
      <c r="H233" t="s">
        <v>669</v>
      </c>
      <c r="I233" t="s">
        <v>1088</v>
      </c>
      <c r="J233">
        <v>0.18132999999999999</v>
      </c>
      <c r="K233">
        <v>112.24124999999999</v>
      </c>
    </row>
    <row r="234" spans="1:11" x14ac:dyDescent="0.25">
      <c r="A234" t="s">
        <v>1089</v>
      </c>
      <c r="B234" t="s">
        <v>1090</v>
      </c>
      <c r="C234" t="s">
        <v>1091</v>
      </c>
      <c r="D234" t="s">
        <v>310</v>
      </c>
      <c r="E234">
        <v>6</v>
      </c>
      <c r="F234" t="s">
        <v>344</v>
      </c>
      <c r="G234" t="s">
        <v>370</v>
      </c>
      <c r="H234" t="s">
        <v>647</v>
      </c>
      <c r="I234" t="s">
        <v>1091</v>
      </c>
      <c r="J234">
        <v>-1.05169</v>
      </c>
      <c r="K234">
        <v>112.00709999999999</v>
      </c>
    </row>
    <row r="235" spans="1:11" x14ac:dyDescent="0.25">
      <c r="A235" t="s">
        <v>1092</v>
      </c>
      <c r="B235" t="s">
        <v>1093</v>
      </c>
      <c r="C235" t="s">
        <v>1094</v>
      </c>
      <c r="D235" t="s">
        <v>310</v>
      </c>
      <c r="E235">
        <v>6</v>
      </c>
      <c r="F235" t="s">
        <v>311</v>
      </c>
      <c r="G235" t="s">
        <v>312</v>
      </c>
      <c r="H235" t="s">
        <v>536</v>
      </c>
      <c r="I235" t="s">
        <v>1094</v>
      </c>
      <c r="J235">
        <v>0.40029999999999999</v>
      </c>
      <c r="K235">
        <v>112.30933</v>
      </c>
    </row>
    <row r="236" spans="1:11" x14ac:dyDescent="0.25">
      <c r="A236" t="s">
        <v>169</v>
      </c>
      <c r="B236" t="s">
        <v>1095</v>
      </c>
      <c r="C236" t="s">
        <v>1096</v>
      </c>
      <c r="D236" t="s">
        <v>310</v>
      </c>
      <c r="E236">
        <v>6</v>
      </c>
      <c r="F236" t="s">
        <v>311</v>
      </c>
      <c r="G236" t="s">
        <v>509</v>
      </c>
      <c r="H236" t="s">
        <v>690</v>
      </c>
      <c r="I236" t="s">
        <v>1096</v>
      </c>
      <c r="J236">
        <v>-2.9441799999999998</v>
      </c>
      <c r="K236">
        <v>110.75055999999999</v>
      </c>
    </row>
    <row r="237" spans="1:11" x14ac:dyDescent="0.25">
      <c r="A237" t="s">
        <v>1097</v>
      </c>
      <c r="B237" t="s">
        <v>1098</v>
      </c>
      <c r="C237" t="s">
        <v>1099</v>
      </c>
      <c r="D237" t="s">
        <v>310</v>
      </c>
      <c r="E237">
        <v>6</v>
      </c>
      <c r="F237" t="s">
        <v>344</v>
      </c>
      <c r="G237" t="s">
        <v>366</v>
      </c>
      <c r="H237" t="s">
        <v>643</v>
      </c>
      <c r="I237" t="s">
        <v>1099</v>
      </c>
      <c r="J237">
        <v>-1.09937</v>
      </c>
      <c r="K237">
        <v>113.22134</v>
      </c>
    </row>
    <row r="238" spans="1:11" x14ac:dyDescent="0.25">
      <c r="A238" t="s">
        <v>1100</v>
      </c>
      <c r="B238" t="s">
        <v>1101</v>
      </c>
      <c r="C238" t="s">
        <v>1102</v>
      </c>
      <c r="D238" t="s">
        <v>310</v>
      </c>
      <c r="E238">
        <v>6</v>
      </c>
      <c r="F238" t="s">
        <v>311</v>
      </c>
      <c r="G238" t="s">
        <v>509</v>
      </c>
      <c r="H238" t="s">
        <v>651</v>
      </c>
      <c r="I238" t="s">
        <v>1102</v>
      </c>
      <c r="J238">
        <v>-1.1890799999999999</v>
      </c>
      <c r="K238">
        <v>110.60289</v>
      </c>
    </row>
    <row r="239" spans="1:11" x14ac:dyDescent="0.25">
      <c r="A239" t="s">
        <v>95</v>
      </c>
      <c r="B239" t="s">
        <v>1103</v>
      </c>
      <c r="C239" t="s">
        <v>1104</v>
      </c>
      <c r="D239" t="s">
        <v>310</v>
      </c>
      <c r="E239">
        <v>6</v>
      </c>
      <c r="F239" t="s">
        <v>344</v>
      </c>
      <c r="G239" t="s">
        <v>345</v>
      </c>
      <c r="H239" t="s">
        <v>937</v>
      </c>
      <c r="I239" t="s">
        <v>1104</v>
      </c>
      <c r="J239">
        <v>-1.5667</v>
      </c>
      <c r="K239">
        <v>112.26349999999999</v>
      </c>
    </row>
    <row r="240" spans="1:11" x14ac:dyDescent="0.25">
      <c r="A240" t="s">
        <v>1105</v>
      </c>
      <c r="B240" t="s">
        <v>1106</v>
      </c>
      <c r="C240" t="s">
        <v>1107</v>
      </c>
      <c r="D240" t="s">
        <v>310</v>
      </c>
      <c r="E240">
        <v>6</v>
      </c>
      <c r="F240" t="s">
        <v>344</v>
      </c>
      <c r="G240" t="s">
        <v>366</v>
      </c>
      <c r="H240" t="s">
        <v>1108</v>
      </c>
      <c r="I240" t="s">
        <v>1107</v>
      </c>
      <c r="J240">
        <v>-1.01433</v>
      </c>
      <c r="K240">
        <v>112.51448000000001</v>
      </c>
    </row>
    <row r="241" spans="1:11" x14ac:dyDescent="0.25">
      <c r="A241" t="s">
        <v>1109</v>
      </c>
      <c r="B241" t="s">
        <v>1110</v>
      </c>
      <c r="C241" t="s">
        <v>1111</v>
      </c>
      <c r="D241" t="s">
        <v>310</v>
      </c>
      <c r="E241">
        <v>6</v>
      </c>
      <c r="F241" t="s">
        <v>311</v>
      </c>
      <c r="G241" t="s">
        <v>312</v>
      </c>
      <c r="H241" t="s">
        <v>570</v>
      </c>
      <c r="I241" t="s">
        <v>1111</v>
      </c>
      <c r="J241">
        <v>0.39001000000000002</v>
      </c>
      <c r="K241">
        <v>112.80244999999999</v>
      </c>
    </row>
    <row r="242" spans="1:11" x14ac:dyDescent="0.25">
      <c r="A242" t="s">
        <v>1112</v>
      </c>
      <c r="B242" t="s">
        <v>1113</v>
      </c>
      <c r="C242" t="s">
        <v>1114</v>
      </c>
      <c r="D242" t="s">
        <v>310</v>
      </c>
      <c r="E242">
        <v>6</v>
      </c>
      <c r="F242" t="s">
        <v>311</v>
      </c>
      <c r="G242" t="s">
        <v>436</v>
      </c>
      <c r="H242" t="s">
        <v>437</v>
      </c>
      <c r="I242" t="s">
        <v>1114</v>
      </c>
      <c r="J242">
        <v>0.50073999999999996</v>
      </c>
      <c r="K242">
        <v>109.98119</v>
      </c>
    </row>
    <row r="243" spans="1:11" x14ac:dyDescent="0.25">
      <c r="A243" t="s">
        <v>1115</v>
      </c>
      <c r="B243" t="s">
        <v>1116</v>
      </c>
      <c r="C243" t="s">
        <v>1117</v>
      </c>
      <c r="D243" t="s">
        <v>310</v>
      </c>
      <c r="E243">
        <v>6</v>
      </c>
      <c r="F243" t="s">
        <v>311</v>
      </c>
      <c r="G243" t="s">
        <v>436</v>
      </c>
      <c r="H243" t="s">
        <v>1118</v>
      </c>
      <c r="I243" t="s">
        <v>1117</v>
      </c>
      <c r="J243">
        <v>0.65046999999999999</v>
      </c>
      <c r="K243">
        <v>109.81509</v>
      </c>
    </row>
    <row r="244" spans="1:11" x14ac:dyDescent="0.25">
      <c r="A244" t="s">
        <v>1119</v>
      </c>
      <c r="B244" t="s">
        <v>1120</v>
      </c>
      <c r="C244" t="s">
        <v>1121</v>
      </c>
      <c r="D244" t="s">
        <v>310</v>
      </c>
      <c r="E244">
        <v>6</v>
      </c>
      <c r="F244" t="s">
        <v>311</v>
      </c>
      <c r="G244" t="s">
        <v>312</v>
      </c>
      <c r="H244" t="s">
        <v>595</v>
      </c>
      <c r="I244" t="s">
        <v>1121</v>
      </c>
      <c r="J244">
        <v>0.36146</v>
      </c>
      <c r="K244">
        <v>112.43378</v>
      </c>
    </row>
    <row r="245" spans="1:11" x14ac:dyDescent="0.25">
      <c r="A245" t="s">
        <v>1122</v>
      </c>
      <c r="B245" t="s">
        <v>1123</v>
      </c>
      <c r="C245" t="s">
        <v>1124</v>
      </c>
      <c r="D245" t="s">
        <v>310</v>
      </c>
      <c r="E245">
        <v>6</v>
      </c>
      <c r="F245" t="s">
        <v>311</v>
      </c>
      <c r="G245" t="s">
        <v>312</v>
      </c>
      <c r="H245" t="s">
        <v>550</v>
      </c>
      <c r="I245" t="s">
        <v>1124</v>
      </c>
      <c r="J245">
        <v>0.80274999999999996</v>
      </c>
      <c r="K245">
        <v>111.78925</v>
      </c>
    </row>
    <row r="246" spans="1:11" x14ac:dyDescent="0.25">
      <c r="A246" t="s">
        <v>1125</v>
      </c>
      <c r="B246" t="s">
        <v>1126</v>
      </c>
      <c r="C246" t="s">
        <v>1127</v>
      </c>
      <c r="D246" t="s">
        <v>310</v>
      </c>
      <c r="E246">
        <v>6</v>
      </c>
      <c r="F246" t="s">
        <v>311</v>
      </c>
      <c r="G246" t="s">
        <v>509</v>
      </c>
      <c r="H246" t="s">
        <v>733</v>
      </c>
      <c r="I246" t="s">
        <v>1127</v>
      </c>
      <c r="J246">
        <v>-1.35832</v>
      </c>
      <c r="K246">
        <v>110.59726000000001</v>
      </c>
    </row>
    <row r="247" spans="1:11" x14ac:dyDescent="0.25">
      <c r="A247" t="s">
        <v>1128</v>
      </c>
      <c r="B247" t="s">
        <v>1129</v>
      </c>
      <c r="C247" t="s">
        <v>1130</v>
      </c>
      <c r="D247" t="s">
        <v>310</v>
      </c>
      <c r="E247">
        <v>6</v>
      </c>
      <c r="F247" t="s">
        <v>311</v>
      </c>
      <c r="G247" t="s">
        <v>509</v>
      </c>
      <c r="H247" t="s">
        <v>1004</v>
      </c>
      <c r="I247" t="s">
        <v>1130</v>
      </c>
      <c r="J247">
        <v>-1.9037299999999999</v>
      </c>
      <c r="K247">
        <v>110.91889</v>
      </c>
    </row>
    <row r="248" spans="1:11" x14ac:dyDescent="0.25">
      <c r="A248" t="s">
        <v>1131</v>
      </c>
      <c r="B248" t="s">
        <v>1132</v>
      </c>
      <c r="C248" t="s">
        <v>1133</v>
      </c>
      <c r="D248" t="s">
        <v>310</v>
      </c>
      <c r="E248">
        <v>6</v>
      </c>
      <c r="F248" t="s">
        <v>311</v>
      </c>
      <c r="G248" t="s">
        <v>323</v>
      </c>
      <c r="H248" t="s">
        <v>682</v>
      </c>
      <c r="I248" t="s">
        <v>1133</v>
      </c>
      <c r="J248">
        <v>-0.48859999999999998</v>
      </c>
      <c r="K248">
        <v>112.22604</v>
      </c>
    </row>
    <row r="249" spans="1:11" x14ac:dyDescent="0.25">
      <c r="A249" t="s">
        <v>1134</v>
      </c>
      <c r="B249" t="s">
        <v>1135</v>
      </c>
      <c r="C249" t="s">
        <v>1136</v>
      </c>
      <c r="D249" t="s">
        <v>310</v>
      </c>
      <c r="E249">
        <v>6</v>
      </c>
      <c r="F249" t="s">
        <v>311</v>
      </c>
      <c r="G249" t="s">
        <v>323</v>
      </c>
      <c r="H249" t="s">
        <v>514</v>
      </c>
      <c r="I249" t="s">
        <v>1136</v>
      </c>
      <c r="J249">
        <v>-1.08379</v>
      </c>
      <c r="K249">
        <v>111.48035</v>
      </c>
    </row>
    <row r="250" spans="1:11" x14ac:dyDescent="0.25">
      <c r="A250" t="s">
        <v>1137</v>
      </c>
      <c r="B250" t="s">
        <v>1138</v>
      </c>
      <c r="C250" t="s">
        <v>1139</v>
      </c>
      <c r="D250" t="s">
        <v>310</v>
      </c>
      <c r="E250">
        <v>6</v>
      </c>
      <c r="F250" t="s">
        <v>311</v>
      </c>
      <c r="G250" t="s">
        <v>436</v>
      </c>
      <c r="H250" t="s">
        <v>751</v>
      </c>
      <c r="I250" t="s">
        <v>1139</v>
      </c>
      <c r="J250">
        <v>0.43617</v>
      </c>
      <c r="K250">
        <v>109.61118</v>
      </c>
    </row>
    <row r="251" spans="1:11" x14ac:dyDescent="0.25">
      <c r="A251" t="s">
        <v>1140</v>
      </c>
      <c r="B251" t="s">
        <v>1141</v>
      </c>
      <c r="C251" t="s">
        <v>1142</v>
      </c>
      <c r="D251" t="s">
        <v>310</v>
      </c>
      <c r="E251">
        <v>6</v>
      </c>
      <c r="F251" t="s">
        <v>311</v>
      </c>
      <c r="G251" t="s">
        <v>328</v>
      </c>
      <c r="H251" t="s">
        <v>615</v>
      </c>
      <c r="I251" t="s">
        <v>1142</v>
      </c>
      <c r="J251">
        <v>0.78056000000000003</v>
      </c>
      <c r="K251">
        <v>111.69114999999999</v>
      </c>
    </row>
    <row r="252" spans="1:11" x14ac:dyDescent="0.25">
      <c r="A252" t="s">
        <v>1143</v>
      </c>
      <c r="B252" t="s">
        <v>1144</v>
      </c>
      <c r="C252" t="s">
        <v>1145</v>
      </c>
      <c r="D252" t="s">
        <v>310</v>
      </c>
      <c r="E252">
        <v>6</v>
      </c>
      <c r="F252" t="s">
        <v>311</v>
      </c>
      <c r="G252" t="s">
        <v>312</v>
      </c>
      <c r="H252" t="s">
        <v>700</v>
      </c>
      <c r="I252" t="s">
        <v>1145</v>
      </c>
      <c r="J252">
        <v>0.95147000000000004</v>
      </c>
      <c r="K252">
        <v>111.5873</v>
      </c>
    </row>
    <row r="253" spans="1:11" x14ac:dyDescent="0.25">
      <c r="A253" t="s">
        <v>1146</v>
      </c>
      <c r="B253" t="s">
        <v>1147</v>
      </c>
      <c r="C253" t="s">
        <v>1148</v>
      </c>
      <c r="D253" t="s">
        <v>310</v>
      </c>
      <c r="E253">
        <v>6</v>
      </c>
      <c r="F253" t="s">
        <v>317</v>
      </c>
      <c r="G253" t="s">
        <v>318</v>
      </c>
      <c r="H253" t="s">
        <v>554</v>
      </c>
      <c r="I253" t="s">
        <v>1148</v>
      </c>
      <c r="J253">
        <v>4.2503200000000003</v>
      </c>
      <c r="K253">
        <v>116.45394</v>
      </c>
    </row>
    <row r="254" spans="1:11" x14ac:dyDescent="0.25">
      <c r="A254" t="s">
        <v>1149</v>
      </c>
      <c r="B254" t="s">
        <v>1150</v>
      </c>
      <c r="C254" t="s">
        <v>1151</v>
      </c>
      <c r="D254" t="s">
        <v>310</v>
      </c>
      <c r="E254">
        <v>6</v>
      </c>
      <c r="F254" t="s">
        <v>311</v>
      </c>
      <c r="G254" t="s">
        <v>509</v>
      </c>
      <c r="H254" t="s">
        <v>560</v>
      </c>
      <c r="I254" t="s">
        <v>1151</v>
      </c>
      <c r="J254">
        <v>-0.45394000000000001</v>
      </c>
      <c r="K254">
        <v>110.12698</v>
      </c>
    </row>
    <row r="255" spans="1:11" x14ac:dyDescent="0.25">
      <c r="A255" t="s">
        <v>1152</v>
      </c>
      <c r="B255" t="s">
        <v>1153</v>
      </c>
      <c r="C255" t="s">
        <v>1154</v>
      </c>
      <c r="D255" t="s">
        <v>310</v>
      </c>
      <c r="E255">
        <v>6</v>
      </c>
      <c r="F255" t="s">
        <v>311</v>
      </c>
      <c r="G255" t="s">
        <v>509</v>
      </c>
      <c r="H255" t="s">
        <v>729</v>
      </c>
      <c r="I255" t="s">
        <v>1154</v>
      </c>
      <c r="J255">
        <v>-0.85207999999999995</v>
      </c>
      <c r="K255">
        <v>110.50144</v>
      </c>
    </row>
    <row r="256" spans="1:11" x14ac:dyDescent="0.25">
      <c r="A256" t="s">
        <v>1155</v>
      </c>
      <c r="B256" t="s">
        <v>1156</v>
      </c>
      <c r="C256" t="s">
        <v>1157</v>
      </c>
      <c r="D256" t="s">
        <v>310</v>
      </c>
      <c r="E256">
        <v>6</v>
      </c>
      <c r="F256" t="s">
        <v>311</v>
      </c>
      <c r="G256" t="s">
        <v>630</v>
      </c>
      <c r="H256" t="s">
        <v>934</v>
      </c>
      <c r="I256" t="s">
        <v>1157</v>
      </c>
      <c r="J256">
        <v>1.0684199999999999</v>
      </c>
      <c r="K256">
        <v>110.07347</v>
      </c>
    </row>
    <row r="257" spans="1:11" x14ac:dyDescent="0.25">
      <c r="A257" t="s">
        <v>1158</v>
      </c>
      <c r="B257" t="s">
        <v>1159</v>
      </c>
      <c r="C257" t="s">
        <v>1160</v>
      </c>
      <c r="D257" t="s">
        <v>310</v>
      </c>
      <c r="E257">
        <v>6</v>
      </c>
      <c r="F257" t="s">
        <v>311</v>
      </c>
      <c r="G257" t="s">
        <v>312</v>
      </c>
      <c r="H257" t="s">
        <v>700</v>
      </c>
      <c r="I257" t="s">
        <v>1160</v>
      </c>
      <c r="J257">
        <v>0.99646000000000001</v>
      </c>
      <c r="K257">
        <v>111.61662</v>
      </c>
    </row>
    <row r="258" spans="1:11" x14ac:dyDescent="0.25">
      <c r="A258" t="s">
        <v>228</v>
      </c>
      <c r="B258" t="s">
        <v>1161</v>
      </c>
      <c r="C258" t="s">
        <v>1162</v>
      </c>
      <c r="D258" t="s">
        <v>310</v>
      </c>
      <c r="E258">
        <v>6</v>
      </c>
      <c r="F258" t="s">
        <v>311</v>
      </c>
      <c r="G258" t="s">
        <v>323</v>
      </c>
      <c r="H258" t="s">
        <v>574</v>
      </c>
      <c r="I258" t="s">
        <v>1162</v>
      </c>
      <c r="J258">
        <v>-0.48385</v>
      </c>
      <c r="K258">
        <v>112.12088</v>
      </c>
    </row>
    <row r="259" spans="1:11" x14ac:dyDescent="0.25">
      <c r="A259" t="s">
        <v>229</v>
      </c>
      <c r="B259" t="s">
        <v>1163</v>
      </c>
      <c r="C259" t="s">
        <v>1164</v>
      </c>
      <c r="D259" t="s">
        <v>310</v>
      </c>
      <c r="E259">
        <v>6</v>
      </c>
      <c r="F259" t="s">
        <v>338</v>
      </c>
      <c r="G259" t="s">
        <v>339</v>
      </c>
      <c r="H259" t="s">
        <v>665</v>
      </c>
      <c r="I259" t="s">
        <v>1164</v>
      </c>
      <c r="J259">
        <v>0.28843000000000002</v>
      </c>
      <c r="K259">
        <v>115.37851999999999</v>
      </c>
    </row>
    <row r="260" spans="1:11" x14ac:dyDescent="0.25">
      <c r="A260" t="s">
        <v>1165</v>
      </c>
      <c r="B260" t="s">
        <v>1166</v>
      </c>
      <c r="C260" t="s">
        <v>1167</v>
      </c>
      <c r="D260" t="s">
        <v>310</v>
      </c>
      <c r="E260">
        <v>6</v>
      </c>
      <c r="F260" t="s">
        <v>317</v>
      </c>
      <c r="G260" t="s">
        <v>318</v>
      </c>
      <c r="H260" t="s">
        <v>564</v>
      </c>
      <c r="I260" t="s">
        <v>1167</v>
      </c>
      <c r="J260">
        <v>3.8116699999999999</v>
      </c>
      <c r="K260">
        <v>116.71437</v>
      </c>
    </row>
    <row r="261" spans="1:11" x14ac:dyDescent="0.25">
      <c r="A261" t="s">
        <v>1168</v>
      </c>
      <c r="B261" t="s">
        <v>1169</v>
      </c>
      <c r="C261" t="s">
        <v>1170</v>
      </c>
      <c r="D261" t="s">
        <v>310</v>
      </c>
      <c r="E261">
        <v>6</v>
      </c>
      <c r="F261" t="s">
        <v>311</v>
      </c>
      <c r="G261" t="s">
        <v>630</v>
      </c>
      <c r="H261" t="s">
        <v>1171</v>
      </c>
      <c r="I261" t="s">
        <v>1170</v>
      </c>
      <c r="J261">
        <v>0.94496999999999998</v>
      </c>
      <c r="K261">
        <v>109.62778</v>
      </c>
    </row>
    <row r="262" spans="1:11" x14ac:dyDescent="0.25">
      <c r="A262" t="s">
        <v>1172</v>
      </c>
      <c r="B262" t="s">
        <v>1173</v>
      </c>
      <c r="C262" t="s">
        <v>1174</v>
      </c>
      <c r="D262" t="s">
        <v>310</v>
      </c>
      <c r="E262">
        <v>6</v>
      </c>
      <c r="F262" t="s">
        <v>344</v>
      </c>
      <c r="G262" t="s">
        <v>366</v>
      </c>
      <c r="H262" t="s">
        <v>378</v>
      </c>
      <c r="I262" t="s">
        <v>1174</v>
      </c>
      <c r="J262">
        <v>-0.97377999999999998</v>
      </c>
      <c r="K262">
        <v>112.91365999999999</v>
      </c>
    </row>
    <row r="263" spans="1:11" x14ac:dyDescent="0.25">
      <c r="A263" t="s">
        <v>1175</v>
      </c>
      <c r="B263" t="s">
        <v>1176</v>
      </c>
      <c r="C263" t="s">
        <v>1177</v>
      </c>
      <c r="D263" t="s">
        <v>310</v>
      </c>
      <c r="E263">
        <v>6</v>
      </c>
      <c r="F263" t="s">
        <v>317</v>
      </c>
      <c r="G263" t="s">
        <v>318</v>
      </c>
      <c r="H263" t="s">
        <v>554</v>
      </c>
      <c r="I263" t="s">
        <v>1177</v>
      </c>
      <c r="J263">
        <v>4.1912900000000004</v>
      </c>
      <c r="K263">
        <v>116.50723000000001</v>
      </c>
    </row>
    <row r="264" spans="1:11" x14ac:dyDescent="0.25">
      <c r="A264" t="s">
        <v>1178</v>
      </c>
      <c r="B264" t="s">
        <v>1179</v>
      </c>
      <c r="C264" t="s">
        <v>1180</v>
      </c>
      <c r="D264" t="s">
        <v>310</v>
      </c>
      <c r="E264">
        <v>6</v>
      </c>
      <c r="F264" t="s">
        <v>344</v>
      </c>
      <c r="G264" t="s">
        <v>370</v>
      </c>
      <c r="H264" t="s">
        <v>647</v>
      </c>
      <c r="I264" t="s">
        <v>1180</v>
      </c>
      <c r="J264">
        <v>-0.86212</v>
      </c>
      <c r="K264">
        <v>112.08056999999999</v>
      </c>
    </row>
    <row r="265" spans="1:11" x14ac:dyDescent="0.25">
      <c r="A265" t="s">
        <v>1181</v>
      </c>
      <c r="B265" t="s">
        <v>1182</v>
      </c>
      <c r="C265" t="s">
        <v>1183</v>
      </c>
      <c r="D265" t="s">
        <v>310</v>
      </c>
      <c r="E265">
        <v>6</v>
      </c>
      <c r="F265" t="s">
        <v>317</v>
      </c>
      <c r="G265" t="s">
        <v>333</v>
      </c>
      <c r="H265" t="s">
        <v>1184</v>
      </c>
      <c r="I265" t="s">
        <v>1183</v>
      </c>
      <c r="J265">
        <v>1.99359</v>
      </c>
      <c r="K265">
        <v>115.13379</v>
      </c>
    </row>
    <row r="266" spans="1:11" x14ac:dyDescent="0.25">
      <c r="A266" t="s">
        <v>1185</v>
      </c>
      <c r="B266" t="s">
        <v>1186</v>
      </c>
      <c r="C266" t="s">
        <v>1187</v>
      </c>
      <c r="D266" t="s">
        <v>310</v>
      </c>
      <c r="E266">
        <v>6</v>
      </c>
      <c r="F266" t="s">
        <v>311</v>
      </c>
      <c r="G266" t="s">
        <v>323</v>
      </c>
      <c r="H266" t="s">
        <v>324</v>
      </c>
      <c r="I266" t="s">
        <v>1187</v>
      </c>
      <c r="J266">
        <v>-0.75997000000000003</v>
      </c>
      <c r="K266">
        <v>111.45936</v>
      </c>
    </row>
    <row r="267" spans="1:11" x14ac:dyDescent="0.25">
      <c r="A267" t="s">
        <v>1188</v>
      </c>
      <c r="B267" t="s">
        <v>1189</v>
      </c>
      <c r="C267" t="s">
        <v>1190</v>
      </c>
      <c r="D267" t="s">
        <v>310</v>
      </c>
      <c r="E267">
        <v>6</v>
      </c>
      <c r="F267" t="s">
        <v>344</v>
      </c>
      <c r="G267" t="s">
        <v>370</v>
      </c>
      <c r="H267" t="s">
        <v>603</v>
      </c>
      <c r="I267" t="s">
        <v>1190</v>
      </c>
      <c r="J267">
        <v>-1.28928</v>
      </c>
      <c r="K267">
        <v>111.71617999999999</v>
      </c>
    </row>
    <row r="268" spans="1:11" x14ac:dyDescent="0.25">
      <c r="A268" t="s">
        <v>1191</v>
      </c>
      <c r="B268" t="s">
        <v>1192</v>
      </c>
      <c r="C268" t="s">
        <v>1193</v>
      </c>
      <c r="D268" t="s">
        <v>310</v>
      </c>
      <c r="E268">
        <v>6</v>
      </c>
      <c r="F268" t="s">
        <v>311</v>
      </c>
      <c r="G268" t="s">
        <v>509</v>
      </c>
      <c r="H268" t="s">
        <v>560</v>
      </c>
      <c r="I268" t="s">
        <v>1193</v>
      </c>
      <c r="J268">
        <v>-0.63736000000000004</v>
      </c>
      <c r="K268">
        <v>110.04549</v>
      </c>
    </row>
    <row r="269" spans="1:11" x14ac:dyDescent="0.25">
      <c r="A269" t="s">
        <v>1194</v>
      </c>
      <c r="B269" t="s">
        <v>1195</v>
      </c>
      <c r="C269" t="s">
        <v>1196</v>
      </c>
      <c r="D269" t="s">
        <v>310</v>
      </c>
      <c r="E269">
        <v>6</v>
      </c>
      <c r="F269" t="s">
        <v>311</v>
      </c>
      <c r="G269" t="s">
        <v>400</v>
      </c>
      <c r="H269" t="s">
        <v>1197</v>
      </c>
      <c r="I269" t="s">
        <v>1196</v>
      </c>
      <c r="J269">
        <v>1.74854</v>
      </c>
      <c r="K269">
        <v>109.58176</v>
      </c>
    </row>
    <row r="270" spans="1:11" x14ac:dyDescent="0.25">
      <c r="A270" t="s">
        <v>1198</v>
      </c>
      <c r="B270" t="s">
        <v>1199</v>
      </c>
      <c r="C270" t="s">
        <v>1200</v>
      </c>
      <c r="D270" t="s">
        <v>310</v>
      </c>
      <c r="E270">
        <v>6</v>
      </c>
      <c r="F270" t="s">
        <v>311</v>
      </c>
      <c r="G270" t="s">
        <v>323</v>
      </c>
      <c r="H270" t="s">
        <v>574</v>
      </c>
      <c r="I270" t="s">
        <v>1200</v>
      </c>
      <c r="J270">
        <v>-0.51619999999999999</v>
      </c>
      <c r="K270">
        <v>112.05932</v>
      </c>
    </row>
    <row r="271" spans="1:11" x14ac:dyDescent="0.25">
      <c r="A271" t="s">
        <v>1201</v>
      </c>
      <c r="B271" t="s">
        <v>1202</v>
      </c>
      <c r="C271" t="s">
        <v>1203</v>
      </c>
      <c r="D271" t="s">
        <v>310</v>
      </c>
      <c r="E271">
        <v>6</v>
      </c>
      <c r="F271" t="s">
        <v>311</v>
      </c>
      <c r="G271" t="s">
        <v>323</v>
      </c>
      <c r="H271" t="s">
        <v>574</v>
      </c>
      <c r="I271" t="s">
        <v>1203</v>
      </c>
      <c r="J271">
        <v>-0.66598000000000002</v>
      </c>
      <c r="K271">
        <v>112.01303</v>
      </c>
    </row>
    <row r="272" spans="1:11" x14ac:dyDescent="0.25">
      <c r="A272" t="s">
        <v>1204</v>
      </c>
      <c r="B272" t="s">
        <v>1205</v>
      </c>
      <c r="C272" t="s">
        <v>1206</v>
      </c>
      <c r="D272" t="s">
        <v>310</v>
      </c>
      <c r="E272">
        <v>6</v>
      </c>
      <c r="F272" t="s">
        <v>311</v>
      </c>
      <c r="G272" t="s">
        <v>509</v>
      </c>
      <c r="H272" t="s">
        <v>510</v>
      </c>
      <c r="I272" t="s">
        <v>1206</v>
      </c>
      <c r="J272">
        <v>-0.88134000000000001</v>
      </c>
      <c r="K272">
        <v>110.18664</v>
      </c>
    </row>
    <row r="273" spans="1:11" x14ac:dyDescent="0.25">
      <c r="A273" t="s">
        <v>1207</v>
      </c>
      <c r="B273" t="s">
        <v>1208</v>
      </c>
      <c r="C273" t="s">
        <v>1209</v>
      </c>
      <c r="D273" t="s">
        <v>310</v>
      </c>
      <c r="E273">
        <v>6</v>
      </c>
      <c r="F273" t="s">
        <v>311</v>
      </c>
      <c r="G273" t="s">
        <v>509</v>
      </c>
      <c r="H273" t="s">
        <v>1210</v>
      </c>
      <c r="I273" t="s">
        <v>1209</v>
      </c>
      <c r="J273">
        <v>-2.1142300000000001</v>
      </c>
      <c r="K273">
        <v>110.78093</v>
      </c>
    </row>
    <row r="274" spans="1:11" x14ac:dyDescent="0.25">
      <c r="A274" t="s">
        <v>1211</v>
      </c>
      <c r="B274" t="s">
        <v>1212</v>
      </c>
      <c r="C274" t="s">
        <v>1213</v>
      </c>
      <c r="D274" t="s">
        <v>310</v>
      </c>
      <c r="E274">
        <v>6</v>
      </c>
      <c r="F274" t="s">
        <v>311</v>
      </c>
      <c r="G274" t="s">
        <v>509</v>
      </c>
      <c r="H274" t="s">
        <v>729</v>
      </c>
      <c r="I274" t="s">
        <v>1213</v>
      </c>
      <c r="J274">
        <v>-0.68057000000000001</v>
      </c>
      <c r="K274">
        <v>110.65709</v>
      </c>
    </row>
    <row r="275" spans="1:11" x14ac:dyDescent="0.25">
      <c r="A275" t="s">
        <v>1214</v>
      </c>
      <c r="B275" t="s">
        <v>1215</v>
      </c>
      <c r="C275" t="s">
        <v>1216</v>
      </c>
      <c r="D275" t="s">
        <v>310</v>
      </c>
      <c r="E275">
        <v>6</v>
      </c>
      <c r="F275" t="s">
        <v>311</v>
      </c>
      <c r="G275" t="s">
        <v>328</v>
      </c>
      <c r="H275" t="s">
        <v>495</v>
      </c>
      <c r="I275" t="s">
        <v>1216</v>
      </c>
      <c r="J275">
        <v>0.75151999999999997</v>
      </c>
      <c r="K275">
        <v>111.13666000000001</v>
      </c>
    </row>
    <row r="276" spans="1:11" x14ac:dyDescent="0.25">
      <c r="A276" t="s">
        <v>166</v>
      </c>
      <c r="B276" t="s">
        <v>1217</v>
      </c>
      <c r="C276" t="s">
        <v>1218</v>
      </c>
      <c r="D276" t="s">
        <v>310</v>
      </c>
      <c r="E276">
        <v>6</v>
      </c>
      <c r="F276" t="s">
        <v>311</v>
      </c>
      <c r="G276" t="s">
        <v>509</v>
      </c>
      <c r="H276" t="s">
        <v>560</v>
      </c>
      <c r="I276" t="s">
        <v>1218</v>
      </c>
      <c r="J276">
        <v>-0.67327000000000004</v>
      </c>
      <c r="K276">
        <v>110.44313</v>
      </c>
    </row>
    <row r="277" spans="1:11" x14ac:dyDescent="0.25">
      <c r="A277" t="s">
        <v>1219</v>
      </c>
      <c r="B277" t="s">
        <v>1220</v>
      </c>
      <c r="C277" t="s">
        <v>1221</v>
      </c>
      <c r="D277" t="s">
        <v>310</v>
      </c>
      <c r="E277">
        <v>6</v>
      </c>
      <c r="F277" t="s">
        <v>311</v>
      </c>
      <c r="G277" t="s">
        <v>328</v>
      </c>
      <c r="H277" t="s">
        <v>615</v>
      </c>
      <c r="I277" t="s">
        <v>1221</v>
      </c>
      <c r="J277">
        <v>0.78147</v>
      </c>
      <c r="K277">
        <v>111.49127</v>
      </c>
    </row>
    <row r="278" spans="1:11" x14ac:dyDescent="0.25">
      <c r="A278" t="s">
        <v>206</v>
      </c>
      <c r="B278" t="s">
        <v>1222</v>
      </c>
      <c r="C278" t="s">
        <v>1223</v>
      </c>
      <c r="D278" t="s">
        <v>310</v>
      </c>
      <c r="E278">
        <v>6</v>
      </c>
      <c r="F278" t="s">
        <v>338</v>
      </c>
      <c r="G278" t="s">
        <v>406</v>
      </c>
      <c r="H278" t="s">
        <v>1224</v>
      </c>
      <c r="I278" t="s">
        <v>1223</v>
      </c>
      <c r="J278">
        <v>1.05237</v>
      </c>
      <c r="K278">
        <v>118.83427</v>
      </c>
    </row>
    <row r="279" spans="1:11" x14ac:dyDescent="0.25">
      <c r="A279" t="s">
        <v>1225</v>
      </c>
      <c r="B279" t="s">
        <v>1226</v>
      </c>
      <c r="C279" t="s">
        <v>1227</v>
      </c>
      <c r="D279" t="s">
        <v>310</v>
      </c>
      <c r="E279">
        <v>6</v>
      </c>
      <c r="F279" t="s">
        <v>311</v>
      </c>
      <c r="G279" t="s">
        <v>598</v>
      </c>
      <c r="H279" t="s">
        <v>1000</v>
      </c>
      <c r="I279" t="s">
        <v>1227</v>
      </c>
      <c r="J279">
        <v>-1.0104500000000001</v>
      </c>
      <c r="K279">
        <v>109.46652</v>
      </c>
    </row>
    <row r="280" spans="1:11" x14ac:dyDescent="0.25">
      <c r="A280" t="s">
        <v>1228</v>
      </c>
      <c r="B280" t="s">
        <v>1229</v>
      </c>
      <c r="C280" t="s">
        <v>1230</v>
      </c>
      <c r="D280" t="s">
        <v>310</v>
      </c>
      <c r="E280">
        <v>6</v>
      </c>
      <c r="F280" t="s">
        <v>311</v>
      </c>
      <c r="G280" t="s">
        <v>328</v>
      </c>
      <c r="H280" t="s">
        <v>615</v>
      </c>
      <c r="I280" t="s">
        <v>1230</v>
      </c>
      <c r="J280">
        <v>0.86038000000000003</v>
      </c>
      <c r="K280">
        <v>111.38518000000001</v>
      </c>
    </row>
    <row r="281" spans="1:11" x14ac:dyDescent="0.25">
      <c r="A281" t="s">
        <v>1231</v>
      </c>
      <c r="B281" t="s">
        <v>1232</v>
      </c>
      <c r="C281" t="s">
        <v>1233</v>
      </c>
      <c r="D281" t="s">
        <v>310</v>
      </c>
      <c r="E281">
        <v>6</v>
      </c>
      <c r="F281" t="s">
        <v>311</v>
      </c>
      <c r="G281" t="s">
        <v>509</v>
      </c>
      <c r="H281" t="s">
        <v>658</v>
      </c>
      <c r="I281" t="s">
        <v>1233</v>
      </c>
      <c r="J281">
        <v>-1.2385200000000001</v>
      </c>
      <c r="K281">
        <v>110.84133</v>
      </c>
    </row>
    <row r="282" spans="1:11" x14ac:dyDescent="0.25">
      <c r="A282" t="s">
        <v>1234</v>
      </c>
      <c r="B282" t="s">
        <v>1235</v>
      </c>
      <c r="C282" t="s">
        <v>1236</v>
      </c>
      <c r="D282" t="s">
        <v>310</v>
      </c>
      <c r="E282">
        <v>6</v>
      </c>
      <c r="F282" t="s">
        <v>311</v>
      </c>
      <c r="G282" t="s">
        <v>436</v>
      </c>
      <c r="H282" t="s">
        <v>635</v>
      </c>
      <c r="I282" t="s">
        <v>1236</v>
      </c>
      <c r="J282">
        <v>0.78871999999999998</v>
      </c>
      <c r="K282">
        <v>110.0055</v>
      </c>
    </row>
    <row r="283" spans="1:11" x14ac:dyDescent="0.25">
      <c r="A283" t="s">
        <v>1237</v>
      </c>
      <c r="B283" t="s">
        <v>1238</v>
      </c>
      <c r="C283" t="s">
        <v>1239</v>
      </c>
      <c r="D283" t="s">
        <v>310</v>
      </c>
      <c r="E283">
        <v>6</v>
      </c>
      <c r="F283" t="s">
        <v>311</v>
      </c>
      <c r="G283" t="s">
        <v>509</v>
      </c>
      <c r="H283" t="s">
        <v>690</v>
      </c>
      <c r="I283" t="s">
        <v>1239</v>
      </c>
      <c r="J283">
        <v>-2.08616</v>
      </c>
      <c r="K283">
        <v>110.4713</v>
      </c>
    </row>
    <row r="284" spans="1:11" x14ac:dyDescent="0.25">
      <c r="A284" t="s">
        <v>212</v>
      </c>
      <c r="B284" t="s">
        <v>1240</v>
      </c>
      <c r="C284" t="s">
        <v>1241</v>
      </c>
      <c r="D284" t="s">
        <v>310</v>
      </c>
      <c r="E284">
        <v>6</v>
      </c>
      <c r="F284" t="s">
        <v>344</v>
      </c>
      <c r="G284" t="s">
        <v>370</v>
      </c>
      <c r="H284" t="s">
        <v>603</v>
      </c>
      <c r="I284" t="s">
        <v>1241</v>
      </c>
      <c r="J284">
        <v>-1.2774399999999999</v>
      </c>
      <c r="K284">
        <v>111.67767000000001</v>
      </c>
    </row>
    <row r="285" spans="1:11" x14ac:dyDescent="0.25">
      <c r="A285" t="s">
        <v>1242</v>
      </c>
      <c r="B285" t="s">
        <v>1243</v>
      </c>
      <c r="C285" t="s">
        <v>1244</v>
      </c>
      <c r="D285" t="s">
        <v>310</v>
      </c>
      <c r="E285">
        <v>6</v>
      </c>
      <c r="F285" t="s">
        <v>317</v>
      </c>
      <c r="G285" t="s">
        <v>318</v>
      </c>
      <c r="H285" t="s">
        <v>554</v>
      </c>
      <c r="I285" t="s">
        <v>1244</v>
      </c>
      <c r="J285">
        <v>3.9094000000000002</v>
      </c>
      <c r="K285">
        <v>116.62826</v>
      </c>
    </row>
    <row r="286" spans="1:11" x14ac:dyDescent="0.25">
      <c r="A286" t="s">
        <v>48</v>
      </c>
      <c r="B286" t="s">
        <v>1245</v>
      </c>
      <c r="C286" t="s">
        <v>1246</v>
      </c>
      <c r="D286" t="s">
        <v>310</v>
      </c>
      <c r="E286">
        <v>6</v>
      </c>
      <c r="F286" t="s">
        <v>344</v>
      </c>
      <c r="G286" t="s">
        <v>370</v>
      </c>
      <c r="H286" t="s">
        <v>647</v>
      </c>
      <c r="I286" t="s">
        <v>1246</v>
      </c>
      <c r="J286">
        <v>-1.31559</v>
      </c>
      <c r="K286">
        <v>111.855</v>
      </c>
    </row>
    <row r="287" spans="1:11" x14ac:dyDescent="0.25">
      <c r="A287" t="s">
        <v>1247</v>
      </c>
      <c r="B287" t="s">
        <v>1248</v>
      </c>
      <c r="C287" t="s">
        <v>1249</v>
      </c>
      <c r="D287" t="s">
        <v>310</v>
      </c>
      <c r="E287">
        <v>6</v>
      </c>
      <c r="F287" t="s">
        <v>344</v>
      </c>
      <c r="G287" t="s">
        <v>366</v>
      </c>
      <c r="H287" t="s">
        <v>1108</v>
      </c>
      <c r="I287" t="s">
        <v>1249</v>
      </c>
      <c r="J287">
        <v>-0.99922999999999995</v>
      </c>
      <c r="K287">
        <v>112.52002</v>
      </c>
    </row>
    <row r="288" spans="1:11" x14ac:dyDescent="0.25">
      <c r="A288" t="s">
        <v>1250</v>
      </c>
      <c r="B288" t="s">
        <v>1251</v>
      </c>
      <c r="C288" t="s">
        <v>1252</v>
      </c>
      <c r="D288" t="s">
        <v>310</v>
      </c>
      <c r="E288">
        <v>6</v>
      </c>
      <c r="F288" t="s">
        <v>344</v>
      </c>
      <c r="G288" t="s">
        <v>370</v>
      </c>
      <c r="H288" t="s">
        <v>647</v>
      </c>
      <c r="I288" t="s">
        <v>1252</v>
      </c>
      <c r="J288">
        <v>-1.17205</v>
      </c>
      <c r="K288">
        <v>111.77786</v>
      </c>
    </row>
    <row r="289" spans="1:11" x14ac:dyDescent="0.25">
      <c r="A289" t="s">
        <v>1253</v>
      </c>
      <c r="B289" t="s">
        <v>1254</v>
      </c>
      <c r="C289" t="s">
        <v>1255</v>
      </c>
      <c r="D289" t="s">
        <v>310</v>
      </c>
      <c r="E289">
        <v>6</v>
      </c>
      <c r="F289" t="s">
        <v>317</v>
      </c>
      <c r="G289" t="s">
        <v>318</v>
      </c>
      <c r="H289" t="s">
        <v>1256</v>
      </c>
      <c r="I289" t="s">
        <v>1255</v>
      </c>
      <c r="J289">
        <v>4.1355700000000004</v>
      </c>
      <c r="K289">
        <v>116.98788</v>
      </c>
    </row>
    <row r="290" spans="1:11" x14ac:dyDescent="0.25">
      <c r="A290" t="s">
        <v>1257</v>
      </c>
      <c r="B290" t="s">
        <v>1258</v>
      </c>
      <c r="C290" t="s">
        <v>1259</v>
      </c>
      <c r="D290" t="s">
        <v>310</v>
      </c>
      <c r="E290">
        <v>6</v>
      </c>
      <c r="F290" t="s">
        <v>344</v>
      </c>
      <c r="G290" t="s">
        <v>370</v>
      </c>
      <c r="H290" t="s">
        <v>719</v>
      </c>
      <c r="I290" t="s">
        <v>1259</v>
      </c>
      <c r="J290">
        <v>-2.5382400000000001</v>
      </c>
      <c r="K290">
        <v>112.16086</v>
      </c>
    </row>
    <row r="291" spans="1:11" x14ac:dyDescent="0.25">
      <c r="A291" t="s">
        <v>1260</v>
      </c>
      <c r="B291" t="s">
        <v>1261</v>
      </c>
      <c r="C291" t="s">
        <v>1262</v>
      </c>
      <c r="D291" t="s">
        <v>310</v>
      </c>
      <c r="E291">
        <v>6</v>
      </c>
      <c r="F291" t="s">
        <v>311</v>
      </c>
      <c r="G291" t="s">
        <v>436</v>
      </c>
      <c r="H291" t="s">
        <v>1263</v>
      </c>
      <c r="I291" t="s">
        <v>1262</v>
      </c>
      <c r="J291">
        <v>0.70440000000000003</v>
      </c>
      <c r="K291">
        <v>109.55410000000001</v>
      </c>
    </row>
    <row r="292" spans="1:11" x14ac:dyDescent="0.25">
      <c r="A292" t="s">
        <v>1264</v>
      </c>
      <c r="B292" t="s">
        <v>1265</v>
      </c>
      <c r="C292" t="s">
        <v>1266</v>
      </c>
      <c r="D292" t="s">
        <v>310</v>
      </c>
      <c r="E292">
        <v>6</v>
      </c>
      <c r="F292" t="s">
        <v>311</v>
      </c>
      <c r="G292" t="s">
        <v>436</v>
      </c>
      <c r="H292" t="s">
        <v>1118</v>
      </c>
      <c r="I292" t="s">
        <v>1266</v>
      </c>
      <c r="J292">
        <v>0.62078</v>
      </c>
      <c r="K292">
        <v>109.96868000000001</v>
      </c>
    </row>
    <row r="293" spans="1:11" x14ac:dyDescent="0.25">
      <c r="A293" t="s">
        <v>1267</v>
      </c>
      <c r="B293" t="s">
        <v>1268</v>
      </c>
      <c r="C293" t="s">
        <v>1269</v>
      </c>
      <c r="D293" t="s">
        <v>310</v>
      </c>
      <c r="E293">
        <v>6</v>
      </c>
      <c r="F293" t="s">
        <v>311</v>
      </c>
      <c r="G293" t="s">
        <v>328</v>
      </c>
      <c r="H293" t="s">
        <v>737</v>
      </c>
      <c r="I293" t="s">
        <v>1269</v>
      </c>
      <c r="J293">
        <v>-0.25869999999999999</v>
      </c>
      <c r="K293">
        <v>111.12244</v>
      </c>
    </row>
    <row r="294" spans="1:11" x14ac:dyDescent="0.25">
      <c r="A294" t="s">
        <v>140</v>
      </c>
      <c r="B294" t="s">
        <v>1270</v>
      </c>
      <c r="C294" t="s">
        <v>1271</v>
      </c>
      <c r="D294" t="s">
        <v>310</v>
      </c>
      <c r="E294">
        <v>6</v>
      </c>
      <c r="F294" t="s">
        <v>344</v>
      </c>
      <c r="G294" t="s">
        <v>370</v>
      </c>
      <c r="H294" t="s">
        <v>371</v>
      </c>
      <c r="I294" t="s">
        <v>1271</v>
      </c>
      <c r="J294">
        <v>-1.97021</v>
      </c>
      <c r="K294">
        <v>112.17122999999999</v>
      </c>
    </row>
    <row r="295" spans="1:11" x14ac:dyDescent="0.25">
      <c r="A295" t="s">
        <v>1272</v>
      </c>
      <c r="B295" t="s">
        <v>1273</v>
      </c>
      <c r="C295" t="s">
        <v>1274</v>
      </c>
      <c r="D295" t="s">
        <v>310</v>
      </c>
      <c r="E295">
        <v>6</v>
      </c>
      <c r="F295" t="s">
        <v>311</v>
      </c>
      <c r="G295" t="s">
        <v>436</v>
      </c>
      <c r="H295" t="s">
        <v>1275</v>
      </c>
      <c r="I295" t="s">
        <v>1274</v>
      </c>
      <c r="J295">
        <v>0.24121000000000001</v>
      </c>
      <c r="K295">
        <v>110.08308</v>
      </c>
    </row>
    <row r="296" spans="1:11" x14ac:dyDescent="0.25">
      <c r="A296" t="s">
        <v>1276</v>
      </c>
      <c r="B296" t="s">
        <v>1277</v>
      </c>
      <c r="C296" t="s">
        <v>1278</v>
      </c>
      <c r="D296" t="s">
        <v>310</v>
      </c>
      <c r="E296">
        <v>6</v>
      </c>
      <c r="F296" t="s">
        <v>344</v>
      </c>
      <c r="G296" t="s">
        <v>370</v>
      </c>
      <c r="H296" t="s">
        <v>647</v>
      </c>
      <c r="I296" t="s">
        <v>1278</v>
      </c>
      <c r="J296">
        <v>-1.1118600000000001</v>
      </c>
      <c r="K296">
        <v>111.99156000000001</v>
      </c>
    </row>
    <row r="297" spans="1:11" x14ac:dyDescent="0.25">
      <c r="A297" t="s">
        <v>1279</v>
      </c>
      <c r="B297" t="s">
        <v>1280</v>
      </c>
      <c r="C297" t="s">
        <v>1281</v>
      </c>
      <c r="D297" t="s">
        <v>310</v>
      </c>
      <c r="E297">
        <v>6</v>
      </c>
      <c r="F297" t="s">
        <v>311</v>
      </c>
      <c r="G297" t="s">
        <v>312</v>
      </c>
      <c r="H297" t="s">
        <v>768</v>
      </c>
      <c r="I297" t="s">
        <v>1281</v>
      </c>
      <c r="J297">
        <v>0.56013000000000002</v>
      </c>
      <c r="K297">
        <v>112.96014</v>
      </c>
    </row>
    <row r="298" spans="1:11" x14ac:dyDescent="0.25">
      <c r="A298" t="s">
        <v>1282</v>
      </c>
      <c r="B298" t="s">
        <v>1283</v>
      </c>
      <c r="C298" t="s">
        <v>1284</v>
      </c>
      <c r="D298" t="s">
        <v>310</v>
      </c>
      <c r="E298">
        <v>6</v>
      </c>
      <c r="F298" t="s">
        <v>311</v>
      </c>
      <c r="G298" t="s">
        <v>312</v>
      </c>
      <c r="H298" t="s">
        <v>536</v>
      </c>
      <c r="I298" t="s">
        <v>1284</v>
      </c>
      <c r="J298">
        <v>0.34737000000000001</v>
      </c>
      <c r="K298">
        <v>112.36993</v>
      </c>
    </row>
    <row r="299" spans="1:11" x14ac:dyDescent="0.25">
      <c r="A299" t="s">
        <v>1285</v>
      </c>
      <c r="B299" t="s">
        <v>1286</v>
      </c>
      <c r="C299" t="s">
        <v>1287</v>
      </c>
      <c r="D299" t="s">
        <v>310</v>
      </c>
      <c r="E299">
        <v>6</v>
      </c>
      <c r="F299" t="s">
        <v>311</v>
      </c>
      <c r="G299" t="s">
        <v>509</v>
      </c>
      <c r="H299" t="s">
        <v>1288</v>
      </c>
      <c r="I299" t="s">
        <v>1287</v>
      </c>
      <c r="J299">
        <v>-1.4038900000000001</v>
      </c>
      <c r="K299">
        <v>110.29998999999999</v>
      </c>
    </row>
    <row r="300" spans="1:11" x14ac:dyDescent="0.25">
      <c r="A300" t="s">
        <v>157</v>
      </c>
      <c r="B300" t="s">
        <v>1289</v>
      </c>
      <c r="C300" t="s">
        <v>1290</v>
      </c>
      <c r="D300" t="s">
        <v>310</v>
      </c>
      <c r="E300">
        <v>6</v>
      </c>
      <c r="F300" t="s">
        <v>311</v>
      </c>
      <c r="G300" t="s">
        <v>436</v>
      </c>
      <c r="H300" t="s">
        <v>1275</v>
      </c>
      <c r="I300" t="s">
        <v>1290</v>
      </c>
      <c r="J300">
        <v>0.41713</v>
      </c>
      <c r="K300">
        <v>110.17946000000001</v>
      </c>
    </row>
    <row r="301" spans="1:11" x14ac:dyDescent="0.25">
      <c r="A301" t="s">
        <v>1291</v>
      </c>
      <c r="B301" t="s">
        <v>1292</v>
      </c>
      <c r="C301" t="s">
        <v>1293</v>
      </c>
      <c r="D301" t="s">
        <v>310</v>
      </c>
      <c r="E301">
        <v>6</v>
      </c>
      <c r="F301" t="s">
        <v>311</v>
      </c>
      <c r="G301" t="s">
        <v>323</v>
      </c>
      <c r="H301" t="s">
        <v>514</v>
      </c>
      <c r="I301" t="s">
        <v>1293</v>
      </c>
      <c r="J301">
        <v>-0.95745999999999998</v>
      </c>
      <c r="K301">
        <v>111.49863000000001</v>
      </c>
    </row>
    <row r="302" spans="1:11" x14ac:dyDescent="0.25">
      <c r="A302" t="s">
        <v>1294</v>
      </c>
      <c r="B302" t="s">
        <v>1295</v>
      </c>
      <c r="C302" t="s">
        <v>1296</v>
      </c>
      <c r="D302" t="s">
        <v>310</v>
      </c>
      <c r="E302">
        <v>6</v>
      </c>
      <c r="F302" t="s">
        <v>311</v>
      </c>
      <c r="G302" t="s">
        <v>323</v>
      </c>
      <c r="H302" t="s">
        <v>324</v>
      </c>
      <c r="I302" t="s">
        <v>1296</v>
      </c>
      <c r="J302">
        <v>-0.66551000000000005</v>
      </c>
      <c r="K302">
        <v>111.48335</v>
      </c>
    </row>
    <row r="303" spans="1:11" x14ac:dyDescent="0.25">
      <c r="A303" t="s">
        <v>1297</v>
      </c>
      <c r="B303" t="s">
        <v>1298</v>
      </c>
      <c r="C303" t="s">
        <v>1299</v>
      </c>
      <c r="D303" t="s">
        <v>310</v>
      </c>
      <c r="E303">
        <v>6</v>
      </c>
      <c r="F303" t="s">
        <v>311</v>
      </c>
      <c r="G303" t="s">
        <v>323</v>
      </c>
      <c r="H303" t="s">
        <v>1300</v>
      </c>
      <c r="I303" t="s">
        <v>1299</v>
      </c>
      <c r="J303">
        <v>-0.38828000000000001</v>
      </c>
      <c r="K303">
        <v>111.35715</v>
      </c>
    </row>
    <row r="304" spans="1:11" x14ac:dyDescent="0.25">
      <c r="A304" t="s">
        <v>1301</v>
      </c>
      <c r="B304" t="s">
        <v>1302</v>
      </c>
      <c r="C304" t="s">
        <v>1303</v>
      </c>
      <c r="D304" t="s">
        <v>310</v>
      </c>
      <c r="E304">
        <v>6</v>
      </c>
      <c r="F304" t="s">
        <v>317</v>
      </c>
      <c r="G304" t="s">
        <v>318</v>
      </c>
      <c r="H304" t="s">
        <v>554</v>
      </c>
      <c r="I304" t="s">
        <v>1303</v>
      </c>
      <c r="J304">
        <v>3.8869099999999999</v>
      </c>
      <c r="K304">
        <v>116.64584000000001</v>
      </c>
    </row>
    <row r="305" spans="1:11" x14ac:dyDescent="0.25">
      <c r="A305" t="s">
        <v>1304</v>
      </c>
      <c r="B305" t="s">
        <v>1305</v>
      </c>
      <c r="C305" t="s">
        <v>1306</v>
      </c>
      <c r="D305" t="s">
        <v>310</v>
      </c>
      <c r="E305">
        <v>6</v>
      </c>
      <c r="F305" t="s">
        <v>311</v>
      </c>
      <c r="G305" t="s">
        <v>312</v>
      </c>
      <c r="H305" t="s">
        <v>669</v>
      </c>
      <c r="I305" t="s">
        <v>1306</v>
      </c>
      <c r="J305">
        <v>0.18897</v>
      </c>
      <c r="K305">
        <v>112.18470000000001</v>
      </c>
    </row>
    <row r="306" spans="1:11" x14ac:dyDescent="0.25">
      <c r="A306" t="s">
        <v>1307</v>
      </c>
      <c r="B306" t="s">
        <v>1308</v>
      </c>
      <c r="C306" t="s">
        <v>1309</v>
      </c>
      <c r="D306" t="s">
        <v>310</v>
      </c>
      <c r="E306">
        <v>6</v>
      </c>
      <c r="F306" t="s">
        <v>311</v>
      </c>
      <c r="G306" t="s">
        <v>312</v>
      </c>
      <c r="H306" t="s">
        <v>768</v>
      </c>
      <c r="I306" t="s">
        <v>1309</v>
      </c>
      <c r="J306">
        <v>0.62827</v>
      </c>
      <c r="K306">
        <v>113.17274</v>
      </c>
    </row>
    <row r="307" spans="1:11" x14ac:dyDescent="0.25">
      <c r="A307" t="s">
        <v>1310</v>
      </c>
      <c r="B307" t="s">
        <v>1311</v>
      </c>
      <c r="C307" t="s">
        <v>1312</v>
      </c>
      <c r="D307" t="s">
        <v>310</v>
      </c>
      <c r="E307">
        <v>6</v>
      </c>
      <c r="F307" t="s">
        <v>311</v>
      </c>
      <c r="G307" t="s">
        <v>323</v>
      </c>
      <c r="H307" t="s">
        <v>514</v>
      </c>
      <c r="I307" t="s">
        <v>1312</v>
      </c>
      <c r="J307">
        <v>-0.96928999999999998</v>
      </c>
      <c r="K307">
        <v>111.38731</v>
      </c>
    </row>
    <row r="308" spans="1:11" x14ac:dyDescent="0.25">
      <c r="A308" t="s">
        <v>1313</v>
      </c>
      <c r="B308" t="s">
        <v>1314</v>
      </c>
      <c r="C308" t="s">
        <v>1315</v>
      </c>
      <c r="D308" t="s">
        <v>310</v>
      </c>
      <c r="E308">
        <v>6</v>
      </c>
      <c r="F308" t="s">
        <v>311</v>
      </c>
      <c r="G308" t="s">
        <v>312</v>
      </c>
      <c r="H308" t="s">
        <v>669</v>
      </c>
      <c r="I308" t="s">
        <v>1315</v>
      </c>
      <c r="J308">
        <v>0.13822999999999999</v>
      </c>
      <c r="K308">
        <v>112.13312000000001</v>
      </c>
    </row>
    <row r="309" spans="1:11" x14ac:dyDescent="0.25">
      <c r="A309" t="s">
        <v>1316</v>
      </c>
      <c r="B309" t="s">
        <v>1317</v>
      </c>
      <c r="C309" t="s">
        <v>1318</v>
      </c>
      <c r="D309" t="s">
        <v>310</v>
      </c>
      <c r="E309">
        <v>6</v>
      </c>
      <c r="F309" t="s">
        <v>344</v>
      </c>
      <c r="G309" t="s">
        <v>370</v>
      </c>
      <c r="H309" t="s">
        <v>647</v>
      </c>
      <c r="I309" t="s">
        <v>1318</v>
      </c>
      <c r="J309">
        <v>-0.95931999999999995</v>
      </c>
      <c r="K309">
        <v>112.06981</v>
      </c>
    </row>
    <row r="310" spans="1:11" x14ac:dyDescent="0.25">
      <c r="A310" t="s">
        <v>1319</v>
      </c>
      <c r="B310" t="s">
        <v>1320</v>
      </c>
      <c r="C310" t="s">
        <v>1321</v>
      </c>
      <c r="D310" t="s">
        <v>310</v>
      </c>
      <c r="E310">
        <v>6</v>
      </c>
      <c r="F310" t="s">
        <v>311</v>
      </c>
      <c r="G310" t="s">
        <v>312</v>
      </c>
      <c r="H310" t="s">
        <v>518</v>
      </c>
      <c r="I310" t="s">
        <v>1321</v>
      </c>
      <c r="J310">
        <v>0.48425000000000001</v>
      </c>
      <c r="K310">
        <v>111.89189</v>
      </c>
    </row>
    <row r="311" spans="1:11" x14ac:dyDescent="0.25">
      <c r="A311" t="s">
        <v>1322</v>
      </c>
      <c r="B311" t="s">
        <v>1323</v>
      </c>
      <c r="C311" t="s">
        <v>1324</v>
      </c>
      <c r="D311" t="s">
        <v>310</v>
      </c>
      <c r="E311">
        <v>6</v>
      </c>
      <c r="F311" t="s">
        <v>311</v>
      </c>
      <c r="G311" t="s">
        <v>323</v>
      </c>
      <c r="H311" t="s">
        <v>514</v>
      </c>
      <c r="I311" t="s">
        <v>1324</v>
      </c>
      <c r="J311">
        <v>-0.95157000000000003</v>
      </c>
      <c r="K311">
        <v>111.443</v>
      </c>
    </row>
    <row r="312" spans="1:11" x14ac:dyDescent="0.25">
      <c r="A312" t="s">
        <v>173</v>
      </c>
      <c r="B312" t="s">
        <v>1325</v>
      </c>
      <c r="C312" t="s">
        <v>1326</v>
      </c>
      <c r="D312" t="s">
        <v>310</v>
      </c>
      <c r="E312">
        <v>6</v>
      </c>
      <c r="F312" t="s">
        <v>344</v>
      </c>
      <c r="G312" t="s">
        <v>366</v>
      </c>
      <c r="H312" t="s">
        <v>367</v>
      </c>
      <c r="I312" t="s">
        <v>1326</v>
      </c>
      <c r="J312">
        <v>-0.94771000000000005</v>
      </c>
      <c r="K312">
        <v>112.43536</v>
      </c>
    </row>
    <row r="313" spans="1:11" x14ac:dyDescent="0.25">
      <c r="A313" t="s">
        <v>1327</v>
      </c>
      <c r="B313" t="s">
        <v>1328</v>
      </c>
      <c r="C313" t="s">
        <v>1329</v>
      </c>
      <c r="D313" t="s">
        <v>310</v>
      </c>
      <c r="E313">
        <v>6</v>
      </c>
      <c r="F313" t="s">
        <v>311</v>
      </c>
      <c r="G313" t="s">
        <v>312</v>
      </c>
      <c r="H313" t="s">
        <v>669</v>
      </c>
      <c r="I313" t="s">
        <v>1329</v>
      </c>
      <c r="J313">
        <v>0.18839</v>
      </c>
      <c r="K313">
        <v>112.13766</v>
      </c>
    </row>
    <row r="314" spans="1:11" x14ac:dyDescent="0.25">
      <c r="A314" t="s">
        <v>1330</v>
      </c>
      <c r="B314" t="s">
        <v>1331</v>
      </c>
      <c r="C314" t="s">
        <v>1332</v>
      </c>
      <c r="D314" t="s">
        <v>310</v>
      </c>
      <c r="E314">
        <v>6</v>
      </c>
      <c r="F314" t="s">
        <v>311</v>
      </c>
      <c r="G314" t="s">
        <v>312</v>
      </c>
      <c r="H314" t="s">
        <v>669</v>
      </c>
      <c r="I314" t="s">
        <v>1332</v>
      </c>
      <c r="J314">
        <v>0.20533000000000001</v>
      </c>
      <c r="K314">
        <v>112.14270999999999</v>
      </c>
    </row>
    <row r="315" spans="1:11" x14ac:dyDescent="0.25">
      <c r="A315" t="s">
        <v>1333</v>
      </c>
      <c r="B315" t="s">
        <v>1334</v>
      </c>
      <c r="C315" t="s">
        <v>1335</v>
      </c>
      <c r="D315" t="s">
        <v>310</v>
      </c>
      <c r="E315">
        <v>6</v>
      </c>
      <c r="F315" t="s">
        <v>311</v>
      </c>
      <c r="G315" t="s">
        <v>312</v>
      </c>
      <c r="H315" t="s">
        <v>570</v>
      </c>
      <c r="I315" t="s">
        <v>1335</v>
      </c>
      <c r="J315">
        <v>0.40510000000000002</v>
      </c>
      <c r="K315">
        <v>112.66279</v>
      </c>
    </row>
    <row r="316" spans="1:11" x14ac:dyDescent="0.25">
      <c r="A316" t="s">
        <v>1336</v>
      </c>
      <c r="B316" t="s">
        <v>1337</v>
      </c>
      <c r="C316" t="s">
        <v>1338</v>
      </c>
      <c r="D316" t="s">
        <v>310</v>
      </c>
      <c r="E316">
        <v>6</v>
      </c>
      <c r="F316" t="s">
        <v>311</v>
      </c>
      <c r="G316" t="s">
        <v>598</v>
      </c>
      <c r="H316" t="s">
        <v>1000</v>
      </c>
      <c r="I316" t="s">
        <v>1338</v>
      </c>
      <c r="J316">
        <v>-1.0044200000000001</v>
      </c>
      <c r="K316">
        <v>109.5806</v>
      </c>
    </row>
    <row r="317" spans="1:11" x14ac:dyDescent="0.25">
      <c r="A317" t="s">
        <v>1339</v>
      </c>
      <c r="B317" t="s">
        <v>1340</v>
      </c>
      <c r="C317" t="s">
        <v>1341</v>
      </c>
      <c r="D317" t="s">
        <v>310</v>
      </c>
      <c r="E317">
        <v>6</v>
      </c>
      <c r="F317" t="s">
        <v>338</v>
      </c>
      <c r="G317" t="s">
        <v>339</v>
      </c>
      <c r="H317" t="s">
        <v>502</v>
      </c>
      <c r="I317" t="s">
        <v>1341</v>
      </c>
      <c r="J317">
        <v>0.76844000000000001</v>
      </c>
      <c r="K317">
        <v>114.45671</v>
      </c>
    </row>
    <row r="318" spans="1:11" x14ac:dyDescent="0.25">
      <c r="A318" t="s">
        <v>1342</v>
      </c>
      <c r="B318" t="s">
        <v>1343</v>
      </c>
      <c r="C318" t="s">
        <v>1344</v>
      </c>
      <c r="D318" t="s">
        <v>310</v>
      </c>
      <c r="E318">
        <v>6</v>
      </c>
      <c r="F318" t="s">
        <v>311</v>
      </c>
      <c r="G318" t="s">
        <v>509</v>
      </c>
      <c r="H318" t="s">
        <v>1345</v>
      </c>
      <c r="I318" t="s">
        <v>1344</v>
      </c>
      <c r="J318">
        <v>-1.7937099999999999</v>
      </c>
      <c r="K318">
        <v>110.70348</v>
      </c>
    </row>
    <row r="319" spans="1:11" x14ac:dyDescent="0.25">
      <c r="A319" t="s">
        <v>230</v>
      </c>
      <c r="B319" t="s">
        <v>1346</v>
      </c>
      <c r="C319" t="s">
        <v>1347</v>
      </c>
      <c r="D319" t="s">
        <v>310</v>
      </c>
      <c r="E319">
        <v>6</v>
      </c>
      <c r="F319" t="s">
        <v>311</v>
      </c>
      <c r="G319" t="s">
        <v>328</v>
      </c>
      <c r="H319" t="s">
        <v>495</v>
      </c>
      <c r="I319" t="s">
        <v>1347</v>
      </c>
      <c r="J319">
        <v>0.89337999999999995</v>
      </c>
      <c r="K319">
        <v>111.14558</v>
      </c>
    </row>
    <row r="320" spans="1:11" x14ac:dyDescent="0.25">
      <c r="A320" t="s">
        <v>1348</v>
      </c>
      <c r="B320" t="s">
        <v>1349</v>
      </c>
      <c r="C320" t="s">
        <v>1350</v>
      </c>
      <c r="D320" t="s">
        <v>310</v>
      </c>
      <c r="E320">
        <v>6</v>
      </c>
      <c r="F320" t="s">
        <v>344</v>
      </c>
      <c r="G320" t="s">
        <v>366</v>
      </c>
      <c r="H320" t="s">
        <v>367</v>
      </c>
      <c r="I320" t="s">
        <v>1350</v>
      </c>
      <c r="J320">
        <v>-0.97416000000000003</v>
      </c>
      <c r="K320">
        <v>112.44224</v>
      </c>
    </row>
    <row r="321" spans="1:11" x14ac:dyDescent="0.25">
      <c r="A321" t="s">
        <v>1351</v>
      </c>
      <c r="B321" t="s">
        <v>1352</v>
      </c>
      <c r="C321" t="s">
        <v>1353</v>
      </c>
      <c r="D321" t="s">
        <v>310</v>
      </c>
      <c r="E321">
        <v>6</v>
      </c>
      <c r="F321" t="s">
        <v>338</v>
      </c>
      <c r="G321" t="s">
        <v>339</v>
      </c>
      <c r="H321" t="s">
        <v>432</v>
      </c>
      <c r="I321" t="s">
        <v>1353</v>
      </c>
      <c r="J321">
        <v>0.38873000000000002</v>
      </c>
      <c r="K321">
        <v>115.42207999999999</v>
      </c>
    </row>
    <row r="322" spans="1:11" x14ac:dyDescent="0.25">
      <c r="A322" t="s">
        <v>1354</v>
      </c>
      <c r="B322" t="s">
        <v>1355</v>
      </c>
      <c r="C322" t="s">
        <v>1356</v>
      </c>
      <c r="D322" t="s">
        <v>310</v>
      </c>
      <c r="E322">
        <v>6</v>
      </c>
      <c r="F322" t="s">
        <v>317</v>
      </c>
      <c r="G322" t="s">
        <v>354</v>
      </c>
      <c r="H322" t="s">
        <v>355</v>
      </c>
      <c r="I322" t="s">
        <v>1356</v>
      </c>
      <c r="J322">
        <v>2.6335000000000002</v>
      </c>
      <c r="K322">
        <v>116.74516</v>
      </c>
    </row>
    <row r="323" spans="1:11" x14ac:dyDescent="0.25">
      <c r="A323" t="s">
        <v>1357</v>
      </c>
      <c r="B323" t="s">
        <v>1358</v>
      </c>
      <c r="C323" t="s">
        <v>1359</v>
      </c>
      <c r="D323" t="s">
        <v>310</v>
      </c>
      <c r="E323">
        <v>6</v>
      </c>
      <c r="F323" t="s">
        <v>311</v>
      </c>
      <c r="G323" t="s">
        <v>509</v>
      </c>
      <c r="H323" t="s">
        <v>651</v>
      </c>
      <c r="I323" t="s">
        <v>1359</v>
      </c>
      <c r="J323">
        <v>-1.0497700000000001</v>
      </c>
      <c r="K323">
        <v>110.5843</v>
      </c>
    </row>
    <row r="324" spans="1:11" x14ac:dyDescent="0.25">
      <c r="A324" t="s">
        <v>1360</v>
      </c>
      <c r="B324" t="s">
        <v>1361</v>
      </c>
      <c r="C324" t="s">
        <v>1362</v>
      </c>
      <c r="D324" t="s">
        <v>310</v>
      </c>
      <c r="E324">
        <v>6</v>
      </c>
      <c r="F324" t="s">
        <v>311</v>
      </c>
      <c r="G324" t="s">
        <v>509</v>
      </c>
      <c r="H324" t="s">
        <v>651</v>
      </c>
      <c r="I324" t="s">
        <v>1362</v>
      </c>
      <c r="J324">
        <v>-1.1791100000000001</v>
      </c>
      <c r="K324">
        <v>110.65503</v>
      </c>
    </row>
    <row r="325" spans="1:11" x14ac:dyDescent="0.25">
      <c r="A325" t="s">
        <v>1363</v>
      </c>
      <c r="B325" t="s">
        <v>1364</v>
      </c>
      <c r="C325" t="s">
        <v>1365</v>
      </c>
      <c r="D325" t="s">
        <v>310</v>
      </c>
      <c r="E325">
        <v>6</v>
      </c>
      <c r="F325" t="s">
        <v>317</v>
      </c>
      <c r="G325" t="s">
        <v>318</v>
      </c>
      <c r="H325" t="s">
        <v>411</v>
      </c>
      <c r="I325" t="s">
        <v>1365</v>
      </c>
      <c r="J325">
        <v>3.8841700000000001</v>
      </c>
      <c r="K325">
        <v>115.64382000000001</v>
      </c>
    </row>
    <row r="326" spans="1:11" x14ac:dyDescent="0.25">
      <c r="A326" t="s">
        <v>1366</v>
      </c>
      <c r="B326" t="s">
        <v>1367</v>
      </c>
      <c r="C326" t="s">
        <v>1368</v>
      </c>
      <c r="D326" t="s">
        <v>310</v>
      </c>
      <c r="E326">
        <v>6</v>
      </c>
      <c r="F326" t="s">
        <v>311</v>
      </c>
      <c r="G326" t="s">
        <v>312</v>
      </c>
      <c r="H326" t="s">
        <v>518</v>
      </c>
      <c r="I326" t="s">
        <v>1368</v>
      </c>
      <c r="J326">
        <v>0.74038999999999999</v>
      </c>
      <c r="K326">
        <v>111.82204</v>
      </c>
    </row>
    <row r="327" spans="1:11" x14ac:dyDescent="0.25">
      <c r="A327" t="s">
        <v>58</v>
      </c>
      <c r="B327" t="s">
        <v>1369</v>
      </c>
      <c r="C327" t="s">
        <v>1370</v>
      </c>
      <c r="D327" t="s">
        <v>310</v>
      </c>
      <c r="E327">
        <v>6</v>
      </c>
      <c r="F327" t="s">
        <v>344</v>
      </c>
      <c r="G327" t="s">
        <v>366</v>
      </c>
      <c r="H327" t="s">
        <v>367</v>
      </c>
      <c r="I327" t="s">
        <v>1370</v>
      </c>
      <c r="J327">
        <v>-1.0578399999999999</v>
      </c>
      <c r="K327">
        <v>112.43424</v>
      </c>
    </row>
    <row r="328" spans="1:11" x14ac:dyDescent="0.25">
      <c r="A328" t="s">
        <v>1371</v>
      </c>
      <c r="B328" t="s">
        <v>1372</v>
      </c>
      <c r="C328" t="s">
        <v>1373</v>
      </c>
      <c r="D328" t="s">
        <v>310</v>
      </c>
      <c r="E328">
        <v>6</v>
      </c>
      <c r="F328" t="s">
        <v>344</v>
      </c>
      <c r="G328" t="s">
        <v>370</v>
      </c>
      <c r="H328" t="s">
        <v>603</v>
      </c>
      <c r="I328" t="s">
        <v>1373</v>
      </c>
      <c r="J328">
        <v>-1.29765</v>
      </c>
      <c r="K328">
        <v>111.81195</v>
      </c>
    </row>
    <row r="329" spans="1:11" x14ac:dyDescent="0.25">
      <c r="A329" t="s">
        <v>1374</v>
      </c>
      <c r="B329" t="s">
        <v>1375</v>
      </c>
      <c r="C329" t="s">
        <v>1376</v>
      </c>
      <c r="D329" t="s">
        <v>310</v>
      </c>
      <c r="E329">
        <v>6</v>
      </c>
      <c r="F329" t="s">
        <v>311</v>
      </c>
      <c r="G329" t="s">
        <v>328</v>
      </c>
      <c r="H329" t="s">
        <v>737</v>
      </c>
      <c r="I329" t="s">
        <v>1376</v>
      </c>
      <c r="J329">
        <v>-0.27099000000000001</v>
      </c>
      <c r="K329">
        <v>111.13618</v>
      </c>
    </row>
    <row r="330" spans="1:11" x14ac:dyDescent="0.25">
      <c r="A330" t="s">
        <v>1377</v>
      </c>
      <c r="B330" t="s">
        <v>1378</v>
      </c>
      <c r="C330" t="s">
        <v>1379</v>
      </c>
      <c r="D330" t="s">
        <v>310</v>
      </c>
      <c r="E330">
        <v>6</v>
      </c>
      <c r="F330" t="s">
        <v>311</v>
      </c>
      <c r="G330" t="s">
        <v>509</v>
      </c>
      <c r="H330" t="s">
        <v>729</v>
      </c>
      <c r="I330" t="s">
        <v>1379</v>
      </c>
      <c r="J330">
        <v>-0.65378999999999998</v>
      </c>
      <c r="K330">
        <v>110.67616</v>
      </c>
    </row>
    <row r="331" spans="1:11" x14ac:dyDescent="0.25">
      <c r="A331" t="s">
        <v>1380</v>
      </c>
      <c r="B331" t="s">
        <v>1381</v>
      </c>
      <c r="C331" t="s">
        <v>1382</v>
      </c>
      <c r="D331" t="s">
        <v>310</v>
      </c>
      <c r="E331">
        <v>6</v>
      </c>
      <c r="F331" t="s">
        <v>311</v>
      </c>
      <c r="G331" t="s">
        <v>323</v>
      </c>
      <c r="H331" t="s">
        <v>574</v>
      </c>
      <c r="I331" t="s">
        <v>1382</v>
      </c>
      <c r="J331">
        <v>-0.60697999999999996</v>
      </c>
      <c r="K331">
        <v>112.08593</v>
      </c>
    </row>
    <row r="332" spans="1:11" x14ac:dyDescent="0.25">
      <c r="A332" t="s">
        <v>1383</v>
      </c>
      <c r="B332" t="s">
        <v>1384</v>
      </c>
      <c r="C332" t="s">
        <v>1385</v>
      </c>
      <c r="D332" t="s">
        <v>310</v>
      </c>
      <c r="E332">
        <v>6</v>
      </c>
      <c r="F332" t="s">
        <v>344</v>
      </c>
      <c r="G332" t="s">
        <v>415</v>
      </c>
      <c r="H332" t="s">
        <v>941</v>
      </c>
      <c r="I332" t="s">
        <v>1385</v>
      </c>
      <c r="J332">
        <v>-1.7385900000000001</v>
      </c>
      <c r="K332">
        <v>111.18485</v>
      </c>
    </row>
    <row r="333" spans="1:11" x14ac:dyDescent="0.25">
      <c r="A333" t="s">
        <v>231</v>
      </c>
      <c r="B333" t="s">
        <v>1386</v>
      </c>
      <c r="C333" t="s">
        <v>1387</v>
      </c>
      <c r="D333" t="s">
        <v>310</v>
      </c>
      <c r="E333">
        <v>6</v>
      </c>
      <c r="F333" t="s">
        <v>344</v>
      </c>
      <c r="G333" t="s">
        <v>370</v>
      </c>
      <c r="H333" t="s">
        <v>603</v>
      </c>
      <c r="I333" t="s">
        <v>1387</v>
      </c>
      <c r="J333">
        <v>-1.30959</v>
      </c>
      <c r="K333">
        <v>111.76399000000001</v>
      </c>
    </row>
    <row r="334" spans="1:11" x14ac:dyDescent="0.25">
      <c r="A334" t="s">
        <v>1388</v>
      </c>
      <c r="B334" t="s">
        <v>1389</v>
      </c>
      <c r="C334" t="s">
        <v>1390</v>
      </c>
      <c r="D334" t="s">
        <v>310</v>
      </c>
      <c r="E334">
        <v>6</v>
      </c>
      <c r="F334" t="s">
        <v>311</v>
      </c>
      <c r="G334" t="s">
        <v>328</v>
      </c>
      <c r="H334" t="s">
        <v>350</v>
      </c>
      <c r="I334" t="s">
        <v>1390</v>
      </c>
      <c r="J334">
        <v>-0.25563999999999998</v>
      </c>
      <c r="K334">
        <v>112.88306</v>
      </c>
    </row>
    <row r="335" spans="1:11" x14ac:dyDescent="0.25">
      <c r="A335" t="s">
        <v>1391</v>
      </c>
      <c r="B335" t="s">
        <v>1392</v>
      </c>
      <c r="C335" t="s">
        <v>1393</v>
      </c>
      <c r="D335" t="s">
        <v>310</v>
      </c>
      <c r="E335">
        <v>6</v>
      </c>
      <c r="F335" t="s">
        <v>317</v>
      </c>
      <c r="G335" t="s">
        <v>318</v>
      </c>
      <c r="H335" t="s">
        <v>319</v>
      </c>
      <c r="I335" t="s">
        <v>1393</v>
      </c>
      <c r="J335">
        <v>3.6508099999999999</v>
      </c>
      <c r="K335">
        <v>115.72769</v>
      </c>
    </row>
    <row r="336" spans="1:11" x14ac:dyDescent="0.25">
      <c r="A336" t="s">
        <v>91</v>
      </c>
      <c r="B336" t="s">
        <v>1394</v>
      </c>
      <c r="C336" t="s">
        <v>1395</v>
      </c>
      <c r="D336" t="s">
        <v>310</v>
      </c>
      <c r="E336">
        <v>6</v>
      </c>
      <c r="F336" t="s">
        <v>311</v>
      </c>
      <c r="G336" t="s">
        <v>328</v>
      </c>
      <c r="H336" t="s">
        <v>970</v>
      </c>
      <c r="I336" t="s">
        <v>1395</v>
      </c>
      <c r="J336">
        <v>0.24529999999999999</v>
      </c>
      <c r="K336">
        <v>111.43951</v>
      </c>
    </row>
    <row r="337" spans="1:11" x14ac:dyDescent="0.25">
      <c r="A337" t="s">
        <v>54</v>
      </c>
      <c r="B337" t="s">
        <v>1396</v>
      </c>
      <c r="C337" t="s">
        <v>1397</v>
      </c>
      <c r="D337" t="s">
        <v>310</v>
      </c>
      <c r="E337">
        <v>6</v>
      </c>
      <c r="F337" t="s">
        <v>338</v>
      </c>
      <c r="G337" t="s">
        <v>381</v>
      </c>
      <c r="H337" t="s">
        <v>382</v>
      </c>
      <c r="I337" t="s">
        <v>1397</v>
      </c>
      <c r="J337">
        <v>0.86653000000000002</v>
      </c>
      <c r="K337">
        <v>118.32862</v>
      </c>
    </row>
    <row r="338" spans="1:11" x14ac:dyDescent="0.25">
      <c r="A338" t="s">
        <v>130</v>
      </c>
      <c r="B338" t="s">
        <v>1398</v>
      </c>
      <c r="C338" t="s">
        <v>1399</v>
      </c>
      <c r="D338" t="s">
        <v>310</v>
      </c>
      <c r="E338">
        <v>6</v>
      </c>
      <c r="F338" t="s">
        <v>311</v>
      </c>
      <c r="G338" t="s">
        <v>323</v>
      </c>
      <c r="H338" t="s">
        <v>324</v>
      </c>
      <c r="I338" t="s">
        <v>1399</v>
      </c>
      <c r="J338">
        <v>-0.80069000000000001</v>
      </c>
      <c r="K338">
        <v>111.37669</v>
      </c>
    </row>
  </sheetData>
  <autoFilter ref="A1:K338" xr:uid="{397146D4-77F1-44A9-A087-90C197797A5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5438-71F1-46DD-9ACD-1EFC84B6D32E}">
  <dimension ref="A1:I18"/>
  <sheetViews>
    <sheetView workbookViewId="0">
      <selection activeCell="M15" sqref="M15"/>
    </sheetView>
  </sheetViews>
  <sheetFormatPr defaultRowHeight="15" x14ac:dyDescent="0.25"/>
  <cols>
    <col min="1" max="1" width="9.28515625" bestFit="1" customWidth="1"/>
    <col min="2" max="2" width="10" bestFit="1" customWidth="1"/>
    <col min="3" max="3" width="9.85546875" bestFit="1" customWidth="1"/>
    <col min="4" max="4" width="8.7109375" bestFit="1" customWidth="1"/>
    <col min="5" max="5" width="15.5703125" bestFit="1" customWidth="1"/>
    <col min="6" max="6" width="20.42578125" bestFit="1" customWidth="1"/>
    <col min="7" max="7" width="19.42578125" bestFit="1" customWidth="1"/>
    <col min="8" max="8" width="15.85546875" bestFit="1" customWidth="1"/>
    <col min="9" max="9" width="21" bestFit="1" customWidth="1"/>
  </cols>
  <sheetData>
    <row r="1" spans="1:9" x14ac:dyDescent="0.25">
      <c r="A1" s="6" t="s">
        <v>1</v>
      </c>
      <c r="B1" s="6" t="s">
        <v>7</v>
      </c>
      <c r="C1" s="6" t="s">
        <v>8</v>
      </c>
      <c r="D1" s="6" t="s">
        <v>9</v>
      </c>
      <c r="E1" s="6" t="s">
        <v>11</v>
      </c>
      <c r="F1" s="6" t="s">
        <v>293</v>
      </c>
      <c r="G1" s="6" t="s">
        <v>1460</v>
      </c>
      <c r="H1" s="6" t="s">
        <v>1461</v>
      </c>
      <c r="I1" s="6" t="s">
        <v>294</v>
      </c>
    </row>
    <row r="2" spans="1:9" x14ac:dyDescent="0.25">
      <c r="A2" s="7" t="s">
        <v>99</v>
      </c>
      <c r="B2" s="7" t="s">
        <v>134</v>
      </c>
      <c r="C2" s="7" t="s">
        <v>135</v>
      </c>
      <c r="D2" s="7">
        <v>1</v>
      </c>
      <c r="E2" s="7" t="s">
        <v>136</v>
      </c>
      <c r="F2" s="7" t="s">
        <v>446</v>
      </c>
      <c r="G2" s="7" t="s">
        <v>1462</v>
      </c>
      <c r="H2" s="7" t="s">
        <v>1405</v>
      </c>
      <c r="I2" s="7" t="s">
        <v>344</v>
      </c>
    </row>
    <row r="3" spans="1:9" x14ac:dyDescent="0.25">
      <c r="A3" s="7" t="s">
        <v>173</v>
      </c>
      <c r="B3" s="7" t="s">
        <v>25</v>
      </c>
      <c r="C3" s="7" t="s">
        <v>125</v>
      </c>
      <c r="D3" s="7">
        <v>1</v>
      </c>
      <c r="E3" s="7" t="s">
        <v>175</v>
      </c>
      <c r="F3" s="7" t="s">
        <v>1326</v>
      </c>
      <c r="G3" s="7" t="s">
        <v>1462</v>
      </c>
      <c r="H3" s="7" t="s">
        <v>1404</v>
      </c>
      <c r="I3" s="7" t="s">
        <v>344</v>
      </c>
    </row>
    <row r="4" spans="1:9" x14ac:dyDescent="0.25">
      <c r="A4" s="7" t="s">
        <v>187</v>
      </c>
      <c r="B4" s="7" t="s">
        <v>33</v>
      </c>
      <c r="C4" s="7" t="s">
        <v>41</v>
      </c>
      <c r="D4" s="7">
        <v>3</v>
      </c>
      <c r="E4" s="7" t="s">
        <v>189</v>
      </c>
      <c r="F4" s="7" t="s">
        <v>1033</v>
      </c>
      <c r="G4" s="7" t="s">
        <v>1462</v>
      </c>
      <c r="H4" s="7" t="s">
        <v>1404</v>
      </c>
      <c r="I4" s="7" t="s">
        <v>344</v>
      </c>
    </row>
    <row r="5" spans="1:9" x14ac:dyDescent="0.25">
      <c r="A5" s="7" t="s">
        <v>179</v>
      </c>
      <c r="B5" s="7" t="s">
        <v>25</v>
      </c>
      <c r="C5" s="7" t="s">
        <v>26</v>
      </c>
      <c r="D5" s="7">
        <v>1</v>
      </c>
      <c r="E5" s="7" t="s">
        <v>181</v>
      </c>
      <c r="F5" s="7" t="s">
        <v>917</v>
      </c>
      <c r="G5" s="7" t="s">
        <v>1462</v>
      </c>
      <c r="H5" s="7" t="s">
        <v>1404</v>
      </c>
      <c r="I5" s="7" t="s">
        <v>338</v>
      </c>
    </row>
    <row r="6" spans="1:9" x14ac:dyDescent="0.25">
      <c r="A6" s="7" t="s">
        <v>110</v>
      </c>
      <c r="B6" s="7" t="s">
        <v>25</v>
      </c>
      <c r="C6" s="7" t="s">
        <v>125</v>
      </c>
      <c r="D6" s="7">
        <v>1</v>
      </c>
      <c r="E6" s="7" t="s">
        <v>126</v>
      </c>
      <c r="F6" s="7" t="s">
        <v>987</v>
      </c>
      <c r="G6" s="7" t="s">
        <v>1462</v>
      </c>
      <c r="H6" s="7" t="s">
        <v>1404</v>
      </c>
      <c r="I6" s="7" t="s">
        <v>317</v>
      </c>
    </row>
    <row r="7" spans="1:9" x14ac:dyDescent="0.25">
      <c r="A7" s="7" t="s">
        <v>166</v>
      </c>
      <c r="B7" s="7" t="s">
        <v>33</v>
      </c>
      <c r="C7" s="7" t="s">
        <v>72</v>
      </c>
      <c r="D7" s="7">
        <v>5</v>
      </c>
      <c r="E7" s="7" t="s">
        <v>168</v>
      </c>
      <c r="F7" s="7" t="s">
        <v>1218</v>
      </c>
      <c r="G7" s="7" t="s">
        <v>1462</v>
      </c>
      <c r="H7" s="7" t="s">
        <v>1407</v>
      </c>
      <c r="I7" s="7" t="s">
        <v>311</v>
      </c>
    </row>
    <row r="8" spans="1:9" x14ac:dyDescent="0.25">
      <c r="A8" s="7" t="s">
        <v>169</v>
      </c>
      <c r="B8" s="7" t="s">
        <v>25</v>
      </c>
      <c r="C8" s="7" t="s">
        <v>171</v>
      </c>
      <c r="D8" s="7">
        <v>1</v>
      </c>
      <c r="E8" s="7" t="s">
        <v>172</v>
      </c>
      <c r="F8" s="7" t="s">
        <v>1096</v>
      </c>
      <c r="G8" s="7" t="s">
        <v>1462</v>
      </c>
      <c r="H8" s="7" t="s">
        <v>1407</v>
      </c>
      <c r="I8" s="7" t="s">
        <v>311</v>
      </c>
    </row>
    <row r="9" spans="1:9" x14ac:dyDescent="0.25">
      <c r="A9" s="7" t="s">
        <v>182</v>
      </c>
      <c r="B9" s="7" t="s">
        <v>25</v>
      </c>
      <c r="C9" s="7" t="s">
        <v>56</v>
      </c>
      <c r="D9" s="7">
        <v>1</v>
      </c>
      <c r="E9" s="7" t="s">
        <v>184</v>
      </c>
      <c r="F9" s="7" t="s">
        <v>597</v>
      </c>
      <c r="G9" s="7" t="s">
        <v>1462</v>
      </c>
      <c r="H9" s="7" t="s">
        <v>1407</v>
      </c>
      <c r="I9" s="7" t="s">
        <v>311</v>
      </c>
    </row>
    <row r="10" spans="1:9" x14ac:dyDescent="0.25">
      <c r="A10" s="7" t="s">
        <v>182</v>
      </c>
      <c r="B10" s="7" t="s">
        <v>25</v>
      </c>
      <c r="C10" s="7" t="s">
        <v>125</v>
      </c>
      <c r="D10" s="7">
        <v>1</v>
      </c>
      <c r="E10" s="7" t="s">
        <v>186</v>
      </c>
      <c r="F10" s="7" t="s">
        <v>597</v>
      </c>
      <c r="G10" s="7" t="s">
        <v>1462</v>
      </c>
      <c r="H10" s="7" t="s">
        <v>1407</v>
      </c>
      <c r="I10" s="7" t="s">
        <v>311</v>
      </c>
    </row>
    <row r="11" spans="1:9" x14ac:dyDescent="0.25">
      <c r="A11" s="7" t="s">
        <v>190</v>
      </c>
      <c r="B11" s="7" t="s">
        <v>25</v>
      </c>
      <c r="C11" s="7" t="s">
        <v>171</v>
      </c>
      <c r="D11" s="7">
        <v>1</v>
      </c>
      <c r="E11" s="7" t="s">
        <v>192</v>
      </c>
      <c r="F11" s="7" t="s">
        <v>966</v>
      </c>
      <c r="G11" s="7" t="s">
        <v>1462</v>
      </c>
      <c r="H11" s="7" t="s">
        <v>1407</v>
      </c>
      <c r="I11" s="7" t="s">
        <v>311</v>
      </c>
    </row>
    <row r="12" spans="1:9" x14ac:dyDescent="0.25">
      <c r="A12" s="7" t="s">
        <v>176</v>
      </c>
      <c r="B12" s="7" t="s">
        <v>33</v>
      </c>
      <c r="C12" s="7" t="s">
        <v>41</v>
      </c>
      <c r="D12" s="7">
        <v>1</v>
      </c>
      <c r="E12" s="7" t="s">
        <v>178</v>
      </c>
      <c r="F12" s="7" t="s">
        <v>380</v>
      </c>
      <c r="G12" s="7" t="s">
        <v>1462</v>
      </c>
      <c r="H12" s="7" t="s">
        <v>1408</v>
      </c>
      <c r="I12" s="7" t="s">
        <v>338</v>
      </c>
    </row>
    <row r="13" spans="1:9" x14ac:dyDescent="0.25">
      <c r="A13" s="7" t="s">
        <v>130</v>
      </c>
      <c r="B13" s="7" t="s">
        <v>33</v>
      </c>
      <c r="C13" s="7" t="s">
        <v>72</v>
      </c>
      <c r="D13" s="7">
        <v>9</v>
      </c>
      <c r="E13" s="7" t="s">
        <v>132</v>
      </c>
      <c r="F13" s="7" t="s">
        <v>1399</v>
      </c>
      <c r="G13" s="7" t="s">
        <v>1462</v>
      </c>
      <c r="H13" s="7" t="s">
        <v>1406</v>
      </c>
      <c r="I13" s="7" t="s">
        <v>311</v>
      </c>
    </row>
    <row r="14" spans="1:9" x14ac:dyDescent="0.25">
      <c r="A14" s="7" t="s">
        <v>103</v>
      </c>
      <c r="B14" s="7" t="s">
        <v>25</v>
      </c>
      <c r="C14" s="7" t="s">
        <v>56</v>
      </c>
      <c r="D14" s="7">
        <v>1</v>
      </c>
      <c r="E14" s="7" t="s">
        <v>120</v>
      </c>
      <c r="F14" s="7" t="s">
        <v>851</v>
      </c>
      <c r="G14" s="7" t="s">
        <v>1462</v>
      </c>
      <c r="H14" s="7" t="s">
        <v>1406</v>
      </c>
      <c r="I14" s="7" t="s">
        <v>344</v>
      </c>
    </row>
    <row r="15" spans="1:9" x14ac:dyDescent="0.25">
      <c r="A15" s="7" t="s">
        <v>103</v>
      </c>
      <c r="B15" s="7" t="s">
        <v>25</v>
      </c>
      <c r="C15" s="7" t="s">
        <v>125</v>
      </c>
      <c r="D15" s="7">
        <v>1</v>
      </c>
      <c r="E15" s="7" t="s">
        <v>151</v>
      </c>
      <c r="F15" s="7" t="s">
        <v>851</v>
      </c>
      <c r="G15" s="7" t="s">
        <v>1462</v>
      </c>
      <c r="H15" s="7" t="s">
        <v>1406</v>
      </c>
      <c r="I15" s="7" t="s">
        <v>344</v>
      </c>
    </row>
    <row r="16" spans="1:9" x14ac:dyDescent="0.25">
      <c r="A16" s="7" t="s">
        <v>154</v>
      </c>
      <c r="B16" s="7" t="s">
        <v>25</v>
      </c>
      <c r="C16" s="7" t="s">
        <v>56</v>
      </c>
      <c r="D16" s="7">
        <v>1</v>
      </c>
      <c r="E16" s="7" t="s">
        <v>156</v>
      </c>
      <c r="F16" s="7" t="s">
        <v>559</v>
      </c>
      <c r="G16" s="7" t="s">
        <v>1463</v>
      </c>
      <c r="H16" s="7"/>
      <c r="I16" s="7" t="s">
        <v>311</v>
      </c>
    </row>
    <row r="17" spans="1:9" x14ac:dyDescent="0.25">
      <c r="A17" s="7" t="s">
        <v>140</v>
      </c>
      <c r="B17" s="7" t="s">
        <v>25</v>
      </c>
      <c r="C17" s="7" t="s">
        <v>56</v>
      </c>
      <c r="D17" s="7">
        <v>1</v>
      </c>
      <c r="E17" s="7" t="s">
        <v>142</v>
      </c>
      <c r="F17" s="7" t="s">
        <v>1271</v>
      </c>
      <c r="G17" s="7" t="s">
        <v>1463</v>
      </c>
      <c r="H17" s="7"/>
      <c r="I17" s="7" t="s">
        <v>344</v>
      </c>
    </row>
    <row r="18" spans="1:9" x14ac:dyDescent="0.25">
      <c r="A18" s="7" t="s">
        <v>48</v>
      </c>
      <c r="B18" s="7" t="s">
        <v>33</v>
      </c>
      <c r="C18" s="7" t="s">
        <v>41</v>
      </c>
      <c r="D18" s="7">
        <v>2</v>
      </c>
      <c r="E18" s="7" t="s">
        <v>153</v>
      </c>
      <c r="F18" s="7" t="s">
        <v>1246</v>
      </c>
      <c r="G18" s="7" t="s">
        <v>1463</v>
      </c>
      <c r="H18" s="7"/>
      <c r="I18" s="7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</vt:lpstr>
      <vt:lpstr>Manual</vt:lpstr>
      <vt:lpstr>Engpar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Harpaj6688</cp:lastModifiedBy>
  <dcterms:created xsi:type="dcterms:W3CDTF">2026-09-30T15:53:27Z</dcterms:created>
  <dcterms:modified xsi:type="dcterms:W3CDTF">2026-10-17T08:23:18Z</dcterms:modified>
  <cp:category/>
</cp:coreProperties>
</file>